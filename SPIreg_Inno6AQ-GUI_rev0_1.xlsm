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powi-my.sharepoint.com/personal/mark_pallones_power_com/Documents/Desktop/Inno6-AQ/EEPROM/"/>
    </mc:Choice>
  </mc:AlternateContent>
  <xr:revisionPtr revIDLastSave="36350" documentId="8_{C6E85ECB-C13F-459B-93BA-220334765730}" xr6:coauthVersionLast="47" xr6:coauthVersionMax="47" xr10:uidLastSave="{24C73A4C-5A2E-46C8-B2AC-06FFEBDD3E03}"/>
  <bookViews>
    <workbookView xWindow="-80520" yWindow="-3615" windowWidth="51840" windowHeight="21120" xr2:uid="{57489F4F-86AA-4CC9-8198-212C6986F895}"/>
  </bookViews>
  <sheets>
    <sheet name="Inno6-AQ" sheetId="1" r:id="rId1"/>
    <sheet name="ReadMe" sheetId="6" r:id="rId2"/>
    <sheet name="mcc config" sheetId="4" r:id="rId3"/>
    <sheet name="waveforms" sheetId="5" r:id="rId4"/>
  </sheets>
  <functionGroups builtInGroupCount="19"/>
  <definedNames>
    <definedName name="_xleta.DEC2HEX" hidden="1" xlm="1">#NAME?</definedName>
    <definedName name="cc_0_8">'Inno6-AQ'!$L$15</definedName>
    <definedName name="cc_0_8_hex">'Inno6-AQ'!$M$15</definedName>
    <definedName name="cc_11">'Inno6-AQ'!$L$17</definedName>
    <definedName name="cc_12_13">'Inno6-AQ'!$L$18</definedName>
    <definedName name="cc_14_15">'Inno6-AQ'!$L$19</definedName>
    <definedName name="cc_9_10">'Inno6-AQ'!$L$16</definedName>
    <definedName name="cc_add">'Inno6-AQ'!$B$15</definedName>
    <definedName name="cc_control_data">'Inno6-AQ'!$L$15</definedName>
    <definedName name="cc_high">'Inno6-AQ'!$J$15</definedName>
    <definedName name="cc_low">'Inno6-AQ'!$K$15</definedName>
    <definedName name="charge_t_meas_reg_0_9">'Inno6-AQ'!$L$138</definedName>
    <definedName name="charge_t_meas_reg_0_9_hex">'Inno6-AQ'!$M$138</definedName>
    <definedName name="charge_t_meas_reg_10_15">'Inno6-AQ'!$L$139</definedName>
    <definedName name="charge_t_meas_reg_add">'Inno6-AQ'!$B$138</definedName>
    <definedName name="charge_t_meas_reg_high">'Inno6-AQ'!$J$138</definedName>
    <definedName name="charge_t_meas_reg_low">'Inno6-AQ'!$K$138</definedName>
    <definedName name="chrg_dchrg_raatio_reg_0_7">'Inno6-AQ'!$L$144</definedName>
    <definedName name="chrg_dchrg_raatio_reg_0_7_hex">'Inno6-AQ'!$M$144</definedName>
    <definedName name="chrg_dchrg_raatio_reg_8_15">'Inno6-AQ'!$L$145</definedName>
    <definedName name="chrg_dchrg_raatio_reg_add">'Inno6-AQ'!$B$144</definedName>
    <definedName name="chrg_dchrg_raatio_reg_high">'Inno6-AQ'!$J$144</definedName>
    <definedName name="chrg_dchrg_raatio_reg_low">'Inno6-AQ'!$K$144</definedName>
    <definedName name="cp_0_10">'Inno6-AQ'!$L$21</definedName>
    <definedName name="cp_0_10_hex">'Inno6-AQ'!$M$21</definedName>
    <definedName name="cp_11_12">'Inno6-AQ'!$L$22</definedName>
    <definedName name="cp_13_15">'Inno6-AQ'!$L$23</definedName>
    <definedName name="cp_add">'Inno6-AQ'!$B$21</definedName>
    <definedName name="cp_high">'Inno6-AQ'!$J$21</definedName>
    <definedName name="cp_low">'Inno6-AQ'!$K$21</definedName>
    <definedName name="cv_0_12">'Inno6-AQ'!$L$12</definedName>
    <definedName name="cv_0_12_hex">'Inno6-AQ'!$M$12</definedName>
    <definedName name="cv_13_15">'Inno6-AQ'!$L$13</definedName>
    <definedName name="cv_13_15_hex">'Inno6-AQ'!$M$13</definedName>
    <definedName name="cv_add">'Inno6-AQ'!$B$12</definedName>
    <definedName name="cv_cc_cp_control_0">'Inno6-AQ'!$L$66</definedName>
    <definedName name="cv_cc_cp_control_1_2">'Inno6-AQ'!$L$67</definedName>
    <definedName name="cv_cc_cp_control_11_12">'Inno6-AQ'!$L$72</definedName>
    <definedName name="cv_cc_cp_control_13">'Inno6-AQ'!$L$73</definedName>
    <definedName name="cv_cc_cp_control_14_15">'Inno6-AQ'!$L$74</definedName>
    <definedName name="cv_cc_cp_control_3_4">'Inno6-AQ'!$L$68</definedName>
    <definedName name="cv_cc_cp_control_5_6">'Inno6-AQ'!$L$69</definedName>
    <definedName name="cv_cc_cp_control_7_8">'Inno6-AQ'!$L$70</definedName>
    <definedName name="cv_cc_cp_control_9_10">'Inno6-AQ'!$L$71</definedName>
    <definedName name="cv_cc_cp_control_add">'Inno6-AQ'!$B$66</definedName>
    <definedName name="cv_cc_cp_control_hex">'Inno6-AQ'!$M$66</definedName>
    <definedName name="cv_cc_cp_control_high">'Inno6-AQ'!$J$66</definedName>
    <definedName name="cv_cc_cp_control_low">'Inno6-AQ'!$K$66</definedName>
    <definedName name="cv_high">'Inno6-AQ'!$J$12</definedName>
    <definedName name="cv_low">'Inno6-AQ'!$K$12</definedName>
    <definedName name="dcharge_t_meas_reg__add">'Inno6-AQ'!$B$141</definedName>
    <definedName name="dcharge_t_meas_reg__high">'Inno6-AQ'!$J$141</definedName>
    <definedName name="dcharge_t_meas_reg_0_9">'Inno6-AQ'!$L$141</definedName>
    <definedName name="dcharge_t_meas_reg_0_9_hex">'Inno6-AQ'!$M$141</definedName>
    <definedName name="dcharge_t_meas_reg_10_15">'Inno6-AQ'!$L$142</definedName>
    <definedName name="dcharge_t_meas_reg_low">'Inno6-AQ'!$K$141</definedName>
    <definedName name="enable_misc_0">'Inno6-AQ'!$L$59</definedName>
    <definedName name="enable_misc_1">'Inno6-AQ'!$L$60</definedName>
    <definedName name="enable_misc_11_15">'Inno6-AQ'!$L$64</definedName>
    <definedName name="enable_misc_2_6">'Inno6-AQ'!$L$61</definedName>
    <definedName name="enable_misc_2_6_hex">'Inno6-AQ'!$M$61</definedName>
    <definedName name="enable_misc_7_8">'Inno6-AQ'!$L$62</definedName>
    <definedName name="enable_misc_9_10">'Inno6-AQ'!$L$63</definedName>
    <definedName name="enable_misc_add">'Inno6-AQ'!$B$59</definedName>
    <definedName name="enable_misc_high">'Inno6-AQ'!$J$59</definedName>
    <definedName name="enable_misc_low">'Inno6-AQ'!$K$59</definedName>
    <definedName name="enable_misc2_0_1">'Inno6-AQ'!$L$178</definedName>
    <definedName name="enable_misc2_10_14">'Inno6-AQ'!$L$184</definedName>
    <definedName name="enable_misc2_15">'Inno6-AQ'!$L$185</definedName>
    <definedName name="enable_misc2_2_3">'Inno6-AQ'!$L$179</definedName>
    <definedName name="enable_misc2_4">'Inno6-AQ'!$L$180</definedName>
    <definedName name="enable_misc2_5">'Inno6-AQ'!$L$181</definedName>
    <definedName name="enable_misc2_6_7">'Inno6-AQ'!$L$182</definedName>
    <definedName name="enable_misc2_8_9">'Inno6-AQ'!$L$183</definedName>
    <definedName name="enable_misc2_add">'Inno6-AQ'!$B$178</definedName>
    <definedName name="enable_misc2_high">'Inno6-AQ'!$J$178</definedName>
    <definedName name="enable_misc2_low">'Inno6-AQ'!$K$178</definedName>
    <definedName name="enable_misc3_0_1">'Inno6-AQ'!$L$187</definedName>
    <definedName name="enable_misc3_2_3">'Inno6-AQ'!$L$188</definedName>
    <definedName name="enable_misc3_4">'Inno6-AQ'!$L$189</definedName>
    <definedName name="enable_misc3_5_6">'Inno6-AQ'!$L$190</definedName>
    <definedName name="enable_misc3_7_15">'Inno6-AQ'!$L$191</definedName>
    <definedName name="enable_misc3_add">'Inno6-AQ'!$B$187</definedName>
    <definedName name="enable_misc3_high">'Inno6-AQ'!$J$187</definedName>
    <definedName name="enable_misc3_low">'Inno6-AQ'!$K$187</definedName>
    <definedName name="fault_control_0_1">'Inno6-AQ'!$L$50</definedName>
    <definedName name="fault_control_0_15_hex">'Inno6-AQ'!$M$50</definedName>
    <definedName name="fault_control_11_12">'Inno6-AQ'!$L$56</definedName>
    <definedName name="fault_control_13_15">'Inno6-AQ'!$L$57</definedName>
    <definedName name="fault_control_2_3">'Inno6-AQ'!$L$51</definedName>
    <definedName name="fault_control_4_5">'Inno6-AQ'!$L$52</definedName>
    <definedName name="fault_control_6">'Inno6-AQ'!$L$53</definedName>
    <definedName name="fault_control_7_8">'Inno6-AQ'!$L$54</definedName>
    <definedName name="fault_control_9_10">'Inno6-AQ'!$L$55</definedName>
    <definedName name="fault_control_add">'Inno6-AQ'!$B$50</definedName>
    <definedName name="fault_control_high">'Inno6-AQ'!$J$50</definedName>
    <definedName name="fault_control_low">'Inno6-AQ'!$K$50</definedName>
    <definedName name="fault_flag_reg_0">'Inno6-AQ'!$L$98</definedName>
    <definedName name="fault_flag_reg_1">'Inno6-AQ'!$L$99</definedName>
    <definedName name="fault_flag_reg_10">'Inno6-AQ'!$L$108</definedName>
    <definedName name="fault_flag_reg_11_15">'Inno6-AQ'!$L$109</definedName>
    <definedName name="fault_flag_reg_2">'Inno6-AQ'!$L$100</definedName>
    <definedName name="fault_flag_reg_3">'Inno6-AQ'!$L$101</definedName>
    <definedName name="fault_flag_reg_4">'Inno6-AQ'!$L$102</definedName>
    <definedName name="fault_flag_reg_5">'Inno6-AQ'!$L$103</definedName>
    <definedName name="fault_flag_reg_6">'Inno6-AQ'!$L$104</definedName>
    <definedName name="fault_flag_reg_7">'Inno6-AQ'!$L$105</definedName>
    <definedName name="fault_flag_reg_8">'Inno6-AQ'!$L$106</definedName>
    <definedName name="fault_flag_reg_9">'Inno6-AQ'!$L$107</definedName>
    <definedName name="fault_flag_reg_add">'Inno6-AQ'!$B$98</definedName>
    <definedName name="fault_flag_reg_high">'Inno6-AQ'!$J$98</definedName>
    <definedName name="fault_flag_reg_low">'Inno6-AQ'!$K$98</definedName>
    <definedName name="fault_res_0_1">'Inno6-AQ'!$L$42</definedName>
    <definedName name="fault_res_0_15_hex">'Inno6-AQ'!$M$42</definedName>
    <definedName name="fault_res_10_11">'Inno6-AQ'!$L$47</definedName>
    <definedName name="fault_res_12_15">'Inno6-AQ'!$L$48</definedName>
    <definedName name="fault_res_2_3">'Inno6-AQ'!$L$43</definedName>
    <definedName name="fault_res_4_5">'Inno6-AQ'!$L$44</definedName>
    <definedName name="fault_res_6_7">'Inno6-AQ'!$L$45</definedName>
    <definedName name="fault_res_8_9">'Inno6-AQ'!$L$46</definedName>
    <definedName name="fault_res_add">'Inno6-AQ'!$B$42</definedName>
    <definedName name="fault_res_high">'Inno6-AQ'!$J$42</definedName>
    <definedName name="fault_res_low">'Inno6-AQ'!$K$42</definedName>
    <definedName name="fault_resp_reg2_0">'Inno6-AQ'!$L$211</definedName>
    <definedName name="fault_resp_reg2_1_2">'Inno6-AQ'!$L$212</definedName>
    <definedName name="fault_resp_reg2_3_4">'Inno6-AQ'!$L$213</definedName>
    <definedName name="fault_resp_reg2_5_6">'Inno6-AQ'!$L$214</definedName>
    <definedName name="fault_resp_reg2_7_15">'Inno6-AQ'!$L$215</definedName>
    <definedName name="fault_resp_reg2_add">'Inno6-AQ'!$B$211</definedName>
    <definedName name="fault_resp_reg2_high">'Inno6-AQ'!$J$211</definedName>
    <definedName name="fault_resp_reg2_low">'Inno6-AQ'!$K$211</definedName>
    <definedName name="fb_meas_reg_0_8">'Inno6-AQ'!$L$117</definedName>
    <definedName name="fb_meas_reg_0_8_hex">'Inno6-AQ'!$M$117</definedName>
    <definedName name="fb_meas_reg_9_15">'Inno6-AQ'!$L$118</definedName>
    <definedName name="fb_meas_reg_add">'Inno6-AQ'!$B$117</definedName>
    <definedName name="fb_meas_reg_high">'Inno6-AQ'!$J$117</definedName>
    <definedName name="fb_meas_reg_low">'Inno6-AQ'!$K$117</definedName>
    <definedName name="filt_is_meas_reg_0_8">'Inno6-AQ'!$L$126</definedName>
    <definedName name="filt_is_meas_reg_0_8_hex">'Inno6-AQ'!$M$126</definedName>
    <definedName name="filt_is_meas_reg_9_15">'Inno6-AQ'!$L$127</definedName>
    <definedName name="filt_is_meas_reg_add">'Inno6-AQ'!$B$126</definedName>
    <definedName name="filt_is_meas_reg_high">'Inno6-AQ'!$J$126</definedName>
    <definedName name="filt_is_meas_reg_low">'Inno6-AQ'!$K$126</definedName>
    <definedName name="Filt_vout_meas_reg_0_10">'Inno6-AQ'!$L$114</definedName>
    <definedName name="Filt_vout_meas_reg_0_10_hex">'Inno6-AQ'!$M$114</definedName>
    <definedName name="Filt_vout_meas_reg_11_15">'Inno6-AQ'!$L$115</definedName>
    <definedName name="Filt_vout_meas_reg_add">'Inno6-AQ'!$B$114</definedName>
    <definedName name="Filt_vout_meas_reg_high">'Inno6-AQ'!$J$114</definedName>
    <definedName name="Filt_vout_meas_reg_low">'Inno6-AQ'!$K$114</definedName>
    <definedName name="filtered_fb_meas_reg_0_8">'Inno6-AQ'!$L$120</definedName>
    <definedName name="filtered_fb_meas_reg_0_8_hex">'Inno6-AQ'!$M$120</definedName>
    <definedName name="filtered_fb_meas_reg_9_15">'Inno6-AQ'!$L$121</definedName>
    <definedName name="filtered_fb_meas_reg_Add">'Inno6-AQ'!$B$120</definedName>
    <definedName name="filtered_fb_meas_reg_high">'Inno6-AQ'!$J$120</definedName>
    <definedName name="filtered_fb_meas_reg_low">'Inno6-AQ'!$K$120</definedName>
    <definedName name="idle_ring_t_meas_reg_0_9">'Inno6-AQ'!$L$132</definedName>
    <definedName name="idle_ring_t_meas_reg_0_9_hex">'Inno6-AQ'!$M$132</definedName>
    <definedName name="idle_ring_t_meas_reg_10_15">'Inno6-AQ'!$L$133</definedName>
    <definedName name="idle_ring_t_meas_reg_add">'Inno6-AQ'!$B$132</definedName>
    <definedName name="idle_ring_t_meas_reg_high">'Inno6-AQ'!$J$132</definedName>
    <definedName name="idle_ring_t_meas_reg_low">'Inno6-AQ'!$K$132</definedName>
    <definedName name="is_meas_reg_0_8">'Inno6-AQ'!$L$123</definedName>
    <definedName name="is_meas_reg_0_8_hex">'Inno6-AQ'!$M$123</definedName>
    <definedName name="is_meas_reg_9_15">'Inno6-AQ'!$L$124</definedName>
    <definedName name="is_meas_reg_add">'Inno6-AQ'!$B$123</definedName>
    <definedName name="is_meas_reg_high">'Inno6-AQ'!$J$123</definedName>
    <definedName name="is_meas_reg_low">'Inno6-AQ'!$K$123</definedName>
    <definedName name="null_reg_0_15">'Inno6-AQ'!$L$8</definedName>
    <definedName name="null_reg_0_15_hex">'Inno6-AQ'!$M$8</definedName>
    <definedName name="null_reg_add">'Inno6-AQ'!$B$8</definedName>
    <definedName name="null_reg_high">'Inno6-AQ'!$J$8</definedName>
    <definedName name="null_reg_low">'Inno6-AQ'!$K$8</definedName>
    <definedName name="psu_restart_0">'Inno6-AQ'!$L$82</definedName>
    <definedName name="psu_restart_1">'Inno6-AQ'!$L$83</definedName>
    <definedName name="psu_restart_2_15">'Inno6-AQ'!$L$84</definedName>
    <definedName name="psu_restart_add">'Inno6-AQ'!$B$82</definedName>
    <definedName name="psu_restart_high">'Inno6-AQ'!$J$82</definedName>
    <definedName name="psu_restart_low">'Inno6-AQ'!$K$82</definedName>
    <definedName name="sec_die_temp_meas_reg_0_8">'Inno6-AQ'!$L$129</definedName>
    <definedName name="sec_die_temp_meas_reg_0_8_hex">'Inno6-AQ'!$M$129</definedName>
    <definedName name="sec_die_temp_meas_reg_9_15">'Inno6-AQ'!$L$130</definedName>
    <definedName name="sec_die_temp_meas_reg_add">'Inno6-AQ'!$B$129</definedName>
    <definedName name="sec_die_temp_meas_reg_high">'Inno6-AQ'!$J$129</definedName>
    <definedName name="sec_die_temp_meas_reg_low">'Inno6-AQ'!$K$129</definedName>
    <definedName name="sr_control2_0_1">'Inno6-AQ'!$L$201</definedName>
    <definedName name="sr_control2_11_12">'Inno6-AQ'!$L$207</definedName>
    <definedName name="sr_control2_13">'Inno6-AQ'!$L$208</definedName>
    <definedName name="sr_control2_14_15">'Inno6-AQ'!$L$209</definedName>
    <definedName name="sr_control2_2_3">'Inno6-AQ'!$L$202</definedName>
    <definedName name="sr_control2_4">'Inno6-AQ'!$L$203</definedName>
    <definedName name="sr_control2_5">'Inno6-AQ'!$L$204</definedName>
    <definedName name="sr_control2_6_8">'Inno6-AQ'!$L$205</definedName>
    <definedName name="sr_control2_9_10">'Inno6-AQ'!$L$206</definedName>
    <definedName name="sr_control2_add">'Inno6-AQ'!$B$201</definedName>
    <definedName name="sr_control2_high">'Inno6-AQ'!$J$201</definedName>
    <definedName name="sr_control2_low">'Inno6-AQ'!$K$201</definedName>
    <definedName name="sr_mode_control_0">'Inno6-AQ'!$L$76</definedName>
    <definedName name="sr_mode_control_1">'Inno6-AQ'!$L$77</definedName>
    <definedName name="sr_mode_control_2">'Inno6-AQ'!$L$78</definedName>
    <definedName name="sr_mode_control_3_4">'Inno6-AQ'!$L$79</definedName>
    <definedName name="sr_mode_control_5_15">'Inno6-AQ'!$L$80</definedName>
    <definedName name="sr_mode_control_add">'Inno6-AQ'!$B$76</definedName>
    <definedName name="sr_mode_control_high">'Inno6-AQ'!$J$76</definedName>
    <definedName name="sr_mode_control_low">'Inno6-AQ'!$K$76</definedName>
    <definedName name="sr_zvs_or_reg_0">'Inno6-AQ'!$L$174</definedName>
    <definedName name="sr_zvs_or_reg_1_9">'Inno6-AQ'!$L$175</definedName>
    <definedName name="sr_zvs_or_reg_1_9_hex">'Inno6-AQ'!$M$175</definedName>
    <definedName name="sr_zvs_or_reg_10_15">'Inno6-AQ'!$L$176</definedName>
    <definedName name="sr_zvs_or_reg_10_15_hex">'Inno6-AQ'!$M$176</definedName>
    <definedName name="sr_zvs_or_reg_add">'Inno6-AQ'!$B$174</definedName>
    <definedName name="sr_zvs_or_reg_high">'Inno6-AQ'!$J$174</definedName>
    <definedName name="sr_zvs_or_reg_low">'Inno6-AQ'!$K$174</definedName>
    <definedName name="sr_zvs_t_calc_reg_0_9">'Inno6-AQ'!$L$135</definedName>
    <definedName name="sr_zvs_t_calc_reg_0_9_hex">'Inno6-AQ'!$M$135</definedName>
    <definedName name="sr_zvs_t_calc_reg_10_15">'Inno6-AQ'!$L$136</definedName>
    <definedName name="sr_zvs_t_calc_reg_add">'Inno6-AQ'!$B$135</definedName>
    <definedName name="sr_zvs_t_calc_reg_high">'Inno6-AQ'!$J$135</definedName>
    <definedName name="sr_zvs_t_calc_reg_low">'Inno6-AQ'!$K$135</definedName>
    <definedName name="status_reg_0">'Inno6-AQ'!$L$86</definedName>
    <definedName name="status_reg_1">'Inno6-AQ'!$L$87</definedName>
    <definedName name="status_reg_10_15">'Inno6-AQ'!$L$96</definedName>
    <definedName name="status_reg_2">'Inno6-AQ'!$L$88</definedName>
    <definedName name="status_reg_3">'Inno6-AQ'!$L$89</definedName>
    <definedName name="status_reg_4">'Inno6-AQ'!$L$90</definedName>
    <definedName name="status_reg_5">'Inno6-AQ'!$L$91</definedName>
    <definedName name="status_reg_6">'Inno6-AQ'!$L$92</definedName>
    <definedName name="status_reg_7">'Inno6-AQ'!$L$93</definedName>
    <definedName name="status_reg_8">'Inno6-AQ'!$L$94</definedName>
    <definedName name="status_reg_9">'Inno6-AQ'!$L$95</definedName>
    <definedName name="status_reg_add">'Inno6-AQ'!$B$86</definedName>
    <definedName name="status_reg_high">'Inno6-AQ'!$J$86</definedName>
    <definedName name="status_reg_low">'Inno6-AQ'!$K$86</definedName>
    <definedName name="test_pattern_0_15">'Inno6-AQ'!$L$10</definedName>
    <definedName name="test_pattern_0_15_hex">'Inno6-AQ'!$M$10</definedName>
    <definedName name="test_pattern_add">'Inno6-AQ'!$B$10</definedName>
    <definedName name="test_pattern_high">'Inno6-AQ'!$J$10</definedName>
    <definedName name="test_pattern_low">'Inno6-AQ'!$K$10</definedName>
    <definedName name="vfb_ar_0_8">'Inno6-AQ'!$L$38</definedName>
    <definedName name="vfb_ar_0_8_hex">'Inno6-AQ'!$M$38</definedName>
    <definedName name="vfb_ar_10_15">'Inno6-AQ'!$L$40</definedName>
    <definedName name="vfb_ar_9">'Inno6-AQ'!$L$39</definedName>
    <definedName name="vfb_ar_add">'Inno6-AQ'!$B$38</definedName>
    <definedName name="vfb_ar_high">'Inno6-AQ'!$J$38</definedName>
    <definedName name="vfb_ar_low">'Inno6-AQ'!$K$38</definedName>
    <definedName name="vfb_ovp_0_8">'Inno6-AQ'!$L$29</definedName>
    <definedName name="vfb_ovp_0_8_hex">'Inno6-AQ'!$M$29</definedName>
    <definedName name="vfb_ovp_10_15">'Inno6-AQ'!$L$31</definedName>
    <definedName name="vfb_ovp_9">'Inno6-AQ'!$L$30</definedName>
    <definedName name="vfb_ovp_add">'Inno6-AQ'!$B$29</definedName>
    <definedName name="vfb_ovp_high">'Inno6-AQ'!$J$29</definedName>
    <definedName name="vfb_ovp_low">'Inno6-AQ'!$K$29</definedName>
    <definedName name="vo_ovp_0_10">'Inno6-AQ'!$L$25</definedName>
    <definedName name="vo_ovp_0_10_hex">'Inno6-AQ'!$M$25</definedName>
    <definedName name="vo_ovp_11">'Inno6-AQ'!$L$26</definedName>
    <definedName name="vo_ovp_12_15">'Inno6-AQ'!$L$27</definedName>
    <definedName name="votc_reg_0_1">'Inno6-AQ'!$L$193</definedName>
    <definedName name="votc_reg_10_15">'Inno6-AQ'!$L$199</definedName>
    <definedName name="votc_reg_2_3">'Inno6-AQ'!$L$194</definedName>
    <definedName name="votc_reg_4">'Inno6-AQ'!$L$195</definedName>
    <definedName name="votc_reg_7">'Inno6-AQ'!$L$197</definedName>
    <definedName name="votc_reg_8_9">'Inno6-AQ'!$L$198</definedName>
    <definedName name="votc_reg_add">'Inno6-AQ'!$B$193</definedName>
    <definedName name="votc_reg_add_5_6">'Inno6-AQ'!$L$196</definedName>
    <definedName name="votc_reg_high">'Inno6-AQ'!$J$193</definedName>
    <definedName name="votc_reg_low">'Inno6-AQ'!$K$193</definedName>
    <definedName name="vout_meas_reg_0_10">'Inno6-AQ'!$L$111</definedName>
    <definedName name="vout_meas_reg_0_10_hex">'Inno6-AQ'!$M$111</definedName>
    <definedName name="vout_meas_reg_11_15">'Inno6-AQ'!$L$112</definedName>
    <definedName name="vout_meas_reg_add">'Inno6-AQ'!$B$111</definedName>
    <definedName name="vout_meas_reg_high">'Inno6-AQ'!$J$111</definedName>
    <definedName name="vout_meas_reg_low">'Inno6-AQ'!$K$111</definedName>
    <definedName name="vout_ovp_add">'Inno6-AQ'!$B$25</definedName>
    <definedName name="vout_ovp_high">'Inno6-AQ'!$J$25</definedName>
    <definedName name="vout_ovp_low">'Inno6-AQ'!$K$25</definedName>
    <definedName name="vvo_ar_0_10">'Inno6-AQ'!$L$33</definedName>
    <definedName name="vvo_ar_0_10_hex">'Inno6-AQ'!$M$33</definedName>
    <definedName name="vvo_ar_11_12">'Inno6-AQ'!$L$34</definedName>
    <definedName name="vvo_ar_13">'Inno6-AQ'!$L$35</definedName>
    <definedName name="vvo_ar_14_15">'Inno6-AQ'!$L$36</definedName>
    <definedName name="vvo_ar_add">'Inno6-AQ'!$B$33</definedName>
    <definedName name="vvo_ar_high">'Inno6-AQ'!$J$33</definedName>
    <definedName name="vvo_ar_low">'Inno6-AQ'!$K$33</definedName>
    <definedName name="w_r_cc">'Inno6-AQ'!$D$15</definedName>
    <definedName name="w_r_charge_t_meas_reg">'Inno6-AQ'!$D$138</definedName>
    <definedName name="w_r_chrg_dchrg_raatio_reg">'Inno6-AQ'!$D$144</definedName>
    <definedName name="w_r_cv">'Inno6-AQ'!$D$12</definedName>
    <definedName name="w_r_cv_cc_cp_control">'Inno6-AQ'!$D$66</definedName>
    <definedName name="w_r_dcharge_t_meas_reg">'Inno6-AQ'!$D$141</definedName>
    <definedName name="w_r_enable_misc">'Inno6-AQ'!$D$59</definedName>
    <definedName name="w_r_enable_misc2">'Inno6-AQ'!$D$178</definedName>
    <definedName name="w_r_enable_misc3">'Inno6-AQ'!$D$187</definedName>
    <definedName name="w_r_fault_control">'Inno6-AQ'!$D$50</definedName>
    <definedName name="w_r_fault_flag_reg">'Inno6-AQ'!$D$98</definedName>
    <definedName name="w_r_fault_res">'Inno6-AQ'!$D$42</definedName>
    <definedName name="w_r_fault_resp_reg2">'Inno6-AQ'!$D$211</definedName>
    <definedName name="w_r_fb_meas_reg">'Inno6-AQ'!$D$117</definedName>
    <definedName name="w_r_filt_is_meas_reg">'Inno6-AQ'!$D$126</definedName>
    <definedName name="w_r_Filt_vout_meas_reg">'Inno6-AQ'!$D$114</definedName>
    <definedName name="w_r_filtered_fb_meas_reg">'Inno6-AQ'!$D$120</definedName>
    <definedName name="w_r_idle_ring_t_meas_reg">'Inno6-AQ'!$D$132</definedName>
    <definedName name="w_r_is_meas_reg">'Inno6-AQ'!$D$123</definedName>
    <definedName name="w_r_null_reg">'Inno6-AQ'!$D$8</definedName>
    <definedName name="w_r_psu_restart">'Inno6-AQ'!$D$82</definedName>
    <definedName name="w_r_sec_die_temp_meas_reg">'Inno6-AQ'!$D$129</definedName>
    <definedName name="w_r_sr_control2">'Inno6-AQ'!$D$201</definedName>
    <definedName name="w_r_sr_mode_control">'Inno6-AQ'!$D$76</definedName>
    <definedName name="w_r_sr_zvs_or_reg">'Inno6-AQ'!$D$174</definedName>
    <definedName name="w_r_sr_zvs_t_calc_reg">'Inno6-AQ'!$D$135</definedName>
    <definedName name="w_r_status_reg">'Inno6-AQ'!$D$86</definedName>
    <definedName name="w_r_test_pattern">'Inno6-AQ'!$D$10</definedName>
    <definedName name="w_r_vfb_ar">'Inno6-AQ'!$D$38</definedName>
    <definedName name="w_r_vfb_ovp">'Inno6-AQ'!$D$29</definedName>
    <definedName name="w_r_vo_ovp">'Inno6-AQ'!$D$25</definedName>
    <definedName name="w_r_votc_reg">'Inno6-AQ'!$D$193</definedName>
    <definedName name="w_r_vout_meas_reg">'Inno6-AQ'!$D$111</definedName>
    <definedName name="w_r_vvo_ar">'Inno6-AQ'!$D$33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11" i="1" l="1"/>
  <c r="B201" i="1"/>
  <c r="B193" i="1"/>
  <c r="B174" i="1"/>
  <c r="B187" i="1"/>
  <c r="B178" i="1"/>
  <c r="B144" i="1"/>
  <c r="B138" i="1"/>
  <c r="B141" i="1"/>
  <c r="B135" i="1"/>
  <c r="B132" i="1"/>
  <c r="B129" i="1"/>
  <c r="B126" i="1"/>
  <c r="B123" i="1"/>
  <c r="B120" i="1"/>
  <c r="B117" i="1"/>
  <c r="B114" i="1"/>
  <c r="B111" i="1"/>
  <c r="B98" i="1"/>
  <c r="B86" i="1"/>
  <c r="B82" i="1"/>
  <c r="B76" i="1"/>
  <c r="B66" i="1"/>
  <c r="B12" i="1"/>
  <c r="B10" i="1"/>
  <c r="K211" i="1" a="1"/>
  <c r="J211" i="1" a="1"/>
  <c r="J201" i="1" a="1"/>
  <c r="K201" i="1" a="1"/>
  <c r="K193" i="1" a="1"/>
  <c r="J193" i="1" a="1"/>
  <c r="K187" i="1" a="1"/>
  <c r="J187" i="1" a="1"/>
  <c r="K178" i="1" a="1"/>
  <c r="J178" i="1" a="1"/>
  <c r="K174" i="1" a="1"/>
  <c r="J174" i="1" a="1"/>
  <c r="K144" i="1" a="1"/>
  <c r="J144" i="1" a="1"/>
  <c r="K141" i="1" a="1"/>
  <c r="J141" i="1" a="1"/>
  <c r="J138" i="1" a="1"/>
  <c r="K138" i="1" a="1"/>
  <c r="K135" i="1" a="1"/>
  <c r="J135" i="1" a="1"/>
  <c r="K132" i="1" a="1"/>
  <c r="J132" i="1" a="1"/>
  <c r="K129" i="1" a="1"/>
  <c r="J129" i="1" a="1"/>
  <c r="K126" i="1" a="1"/>
  <c r="J126" i="1" a="1"/>
  <c r="K123" i="1" a="1"/>
  <c r="J123" i="1" a="1"/>
  <c r="K120" i="1" a="1"/>
  <c r="J120" i="1" a="1"/>
  <c r="K117" i="1" a="1"/>
  <c r="J117" i="1" a="1"/>
  <c r="K114" i="1" a="1"/>
  <c r="J114" i="1" a="1"/>
  <c r="J111" i="1" a="1"/>
  <c r="K111" i="1" a="1"/>
  <c r="J86" i="1" a="1"/>
  <c r="J82" i="1" a="1"/>
  <c r="J76" i="1" a="1"/>
  <c r="J66" i="1" a="1"/>
  <c r="J59" i="1" a="1"/>
  <c r="J50" i="1" a="1"/>
  <c r="J10" i="1" a="1"/>
  <c r="K8" i="1" a="1"/>
  <c r="K82" i="1" a="1"/>
  <c r="K66" i="1" a="1"/>
  <c r="K42" i="1" a="1"/>
  <c r="J42" i="1" a="1"/>
  <c r="K59" i="1" a="1"/>
  <c r="K50" i="1" a="1"/>
  <c r="K38" i="1" a="1"/>
  <c r="J38" i="1" a="1"/>
  <c r="J8" i="1" a="1"/>
  <c r="K76" i="1" a="1"/>
  <c r="J33" i="1" a="1"/>
  <c r="K33" i="1" a="1"/>
  <c r="K10" i="1" a="1"/>
  <c r="J29" i="1" a="1"/>
  <c r="K86" i="1" a="1"/>
  <c r="K98" i="1" a="1"/>
  <c r="J98" i="1" a="1"/>
  <c r="K211" i="1" l="1"/>
  <c r="J211" i="1"/>
  <c r="J201" i="1"/>
  <c r="K201" i="1"/>
  <c r="K193" i="1"/>
  <c r="J193" i="1"/>
  <c r="K187" i="1"/>
  <c r="J187" i="1"/>
  <c r="K178" i="1"/>
  <c r="J178" i="1"/>
  <c r="K174" i="1"/>
  <c r="J174" i="1"/>
  <c r="K144" i="1"/>
  <c r="J144" i="1"/>
  <c r="K141" i="1"/>
  <c r="J141" i="1"/>
  <c r="J138" i="1"/>
  <c r="K138" i="1"/>
  <c r="K135" i="1"/>
  <c r="J135" i="1"/>
  <c r="K132" i="1"/>
  <c r="J132" i="1"/>
  <c r="K129" i="1"/>
  <c r="J129" i="1"/>
  <c r="K126" i="1"/>
  <c r="J126" i="1"/>
  <c r="K123" i="1"/>
  <c r="J123" i="1"/>
  <c r="K120" i="1"/>
  <c r="J120" i="1"/>
  <c r="K117" i="1"/>
  <c r="J117" i="1"/>
  <c r="K114" i="1"/>
  <c r="J114" i="1"/>
  <c r="J111" i="1"/>
  <c r="K111" i="1"/>
  <c r="K98" i="1"/>
  <c r="J98" i="1"/>
  <c r="K86" i="1"/>
  <c r="J86" i="1"/>
  <c r="K82" i="1"/>
  <c r="J82" i="1"/>
  <c r="K76" i="1"/>
  <c r="J76" i="1"/>
  <c r="K66" i="1"/>
  <c r="J66" i="1"/>
  <c r="K59" i="1"/>
  <c r="J59" i="1"/>
  <c r="K50" i="1"/>
  <c r="J50" i="1"/>
  <c r="K42" i="1"/>
  <c r="J42" i="1"/>
  <c r="K38" i="1"/>
  <c r="J38" i="1"/>
  <c r="J33" i="1"/>
  <c r="K33" i="1"/>
  <c r="J29" i="1"/>
  <c r="J10" i="1"/>
  <c r="K10" i="1"/>
  <c r="K8" i="1"/>
  <c r="J8" i="1"/>
  <c r="B8" i="1"/>
  <c r="B59" i="1" l="1"/>
  <c r="B50" i="1"/>
  <c r="B38" i="1"/>
  <c r="B42" i="1"/>
  <c r="B33" i="1"/>
  <c r="B29" i="1"/>
  <c r="B25" i="1"/>
  <c r="B172" i="1"/>
  <c r="B171" i="1"/>
  <c r="B170" i="1"/>
  <c r="B169" i="1"/>
  <c r="B168" i="1"/>
  <c r="B167" i="1"/>
  <c r="B166" i="1"/>
  <c r="B165" i="1"/>
  <c r="B164" i="1"/>
  <c r="B163" i="1"/>
  <c r="B162" i="1"/>
  <c r="B161" i="1"/>
  <c r="B160" i="1"/>
  <c r="B159" i="1"/>
  <c r="B158" i="1"/>
  <c r="B157" i="1"/>
  <c r="B156" i="1"/>
  <c r="B155" i="1"/>
  <c r="B154" i="1"/>
  <c r="B153" i="1"/>
  <c r="B152" i="1"/>
  <c r="B151" i="1"/>
  <c r="B150" i="1"/>
  <c r="B149" i="1"/>
  <c r="B148" i="1"/>
  <c r="B147" i="1"/>
  <c r="J25" i="1" a="1"/>
  <c r="K29" i="1" a="1"/>
  <c r="K25" i="1" a="1"/>
  <c r="K29" i="1" l="1"/>
  <c r="K25" i="1"/>
  <c r="J25" i="1"/>
  <c r="K12" i="1" a="1"/>
  <c r="J12" i="1" a="1"/>
  <c r="J15" i="1" a="1"/>
  <c r="J21" i="1" a="1"/>
  <c r="K21" i="1" a="1"/>
  <c r="J21" i="1" l="1"/>
  <c r="K21" i="1"/>
  <c r="K12" i="1"/>
  <c r="J12" i="1"/>
  <c r="J15" i="1"/>
  <c r="B21" i="1" l="1"/>
  <c r="K15" i="1" a="1"/>
  <c r="K15" i="1" l="1"/>
  <c r="B15" i="1"/>
  <c r="B217" i="1" l="1"/>
  <c r="B218" i="1"/>
  <c r="B21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<sst xmlns="http://schemas.openxmlformats.org/spreadsheetml/2006/main" count="900" uniqueCount="347">
  <si>
    <t>Address (Dec)</t>
  </si>
  <si>
    <t>Address (HEX)</t>
  </si>
  <si>
    <t>Register Name</t>
  </si>
  <si>
    <t>Bits</t>
  </si>
  <si>
    <t>Range/Options</t>
  </si>
  <si>
    <t>Default (hex)</t>
  </si>
  <si>
    <t>Description</t>
  </si>
  <si>
    <t>NULL VALUE REGISTER</t>
  </si>
  <si>
    <t>R</t>
  </si>
  <si>
    <t>0x0000</t>
  </si>
  <si>
    <t>0x0</t>
  </si>
  <si>
    <t>Always reads zero, used for self test of the interface</t>
  </si>
  <si>
    <t>TEST PATTERN REGISTER</t>
  </si>
  <si>
    <t>W/R</t>
  </si>
  <si>
    <t>0x0000 to 0xFFFF</t>
  </si>
  <si>
    <t>Stores the value written but has no effect on system operation, used for self test of the interface</t>
  </si>
  <si>
    <t>CV TARGET REGISTER</t>
  </si>
  <si>
    <t>0x1000 (1.25V)</t>
  </si>
  <si>
    <t>Unused, reads zero</t>
  </si>
  <si>
    <t>CC CONTROL REGISTER</t>
  </si>
  <si>
    <t>Set by EEPROM</t>
  </si>
  <si>
    <t>00=25ms, 01=50ms, 10=100ms, 11=200ms</t>
  </si>
  <si>
    <r>
      <t>t</t>
    </r>
    <r>
      <rPr>
        <vertAlign val="subscript"/>
        <sz val="11"/>
        <color theme="1"/>
        <rFont val="Aptos Narrow"/>
        <family val="2"/>
        <scheme val="minor"/>
      </rPr>
      <t>IS(AR)</t>
    </r>
    <r>
      <rPr>
        <sz val="11"/>
        <color theme="1"/>
        <rFont val="Aptos Narrow"/>
        <family val="2"/>
        <scheme val="minor"/>
      </rPr>
      <t>: In CV only mode, OCP triggers if IS pin exceeds V</t>
    </r>
    <r>
      <rPr>
        <vertAlign val="subscript"/>
        <sz val="11"/>
        <color theme="1"/>
        <rFont val="Aptos Narrow"/>
        <family val="2"/>
        <scheme val="minor"/>
      </rPr>
      <t>IS(OCP)</t>
    </r>
    <r>
      <rPr>
        <sz val="11"/>
        <color theme="1"/>
        <rFont val="Aptos Narrow"/>
        <family val="2"/>
        <scheme val="minor"/>
      </rPr>
      <t xml:space="preserve"> for more than t</t>
    </r>
    <r>
      <rPr>
        <vertAlign val="subscript"/>
        <sz val="11"/>
        <color theme="1"/>
        <rFont val="Aptos Narrow"/>
        <family val="2"/>
        <scheme val="minor"/>
      </rPr>
      <t>IS(AR)</t>
    </r>
  </si>
  <si>
    <t>[13]</t>
  </si>
  <si>
    <t>0 = Disable, 1 - Enable</t>
  </si>
  <si>
    <t>Fast CC Tracking (en)</t>
  </si>
  <si>
    <t>[15]</t>
  </si>
  <si>
    <t>CP TARGET REGISTER</t>
  </si>
  <si>
    <t>VOUT(OVP) REGISTER</t>
  </si>
  <si>
    <t>0x0 to 0x1FF</t>
  </si>
  <si>
    <t>VFB(OVP) REGISTER</t>
  </si>
  <si>
    <t>VVo(AR) REGISTER</t>
  </si>
  <si>
    <t>Output UV Time tVo(AR) and tFB(AR)</t>
  </si>
  <si>
    <t>VFB(AR) REGISTER</t>
  </si>
  <si>
    <t>00=Disable, 01= Latch-off, 10=AR, 11=AR</t>
  </si>
  <si>
    <t>Fault Response to FB-Pin Open/Short</t>
  </si>
  <si>
    <t>Fault Response to IS-Pin Open/Short</t>
  </si>
  <si>
    <t>FAULT RESPONSE  REGISTER 2</t>
  </si>
  <si>
    <t>Fault Response to BPSR/BPS OVP</t>
  </si>
  <si>
    <t>Fault Response to OTP</t>
  </si>
  <si>
    <t>Fault Response to OCP</t>
  </si>
  <si>
    <t>FAULT CONTROL REGISTER</t>
  </si>
  <si>
    <t>Fault nFault pin control</t>
  </si>
  <si>
    <t>[2]</t>
  </si>
  <si>
    <t>0=Disable, 1=Enable</t>
  </si>
  <si>
    <t>00=90°C,  01=100°C, 10=110°C, 11=125°C</t>
  </si>
  <si>
    <t>Thermal Warning Threshold</t>
  </si>
  <si>
    <t xml:space="preserve">00=+/-2%, 01=+/-4%, 10=+/-8%, 11=OVP and UV levels </t>
  </si>
  <si>
    <t>Fault Pin VFB_PG- and VFB_PG+ (power good thresholds)</t>
  </si>
  <si>
    <t>[7]</t>
  </si>
  <si>
    <t>[8]</t>
  </si>
  <si>
    <t>0 = 25ms, 1 = 100ms</t>
  </si>
  <si>
    <t xml:space="preserve"> Vout regulation window disable time out</t>
  </si>
  <si>
    <t>00=118°C, 01=126°C, 10=134°C, 11=142°C</t>
  </si>
  <si>
    <t>OTP Level</t>
  </si>
  <si>
    <t>00=4mV, 01=6mV, 10=8mV, 11=16mV</t>
  </si>
  <si>
    <r>
      <t>V</t>
    </r>
    <r>
      <rPr>
        <vertAlign val="subscript"/>
        <sz val="11"/>
        <color theme="1"/>
        <rFont val="Aptos Narrow"/>
        <family val="2"/>
        <scheme val="minor"/>
      </rPr>
      <t>IS(FAULT)</t>
    </r>
    <r>
      <rPr>
        <sz val="11"/>
        <color theme="1"/>
        <rFont val="Aptos Narrow"/>
        <family val="2"/>
        <scheme val="minor"/>
      </rPr>
      <t xml:space="preserve"> : if frequency is above f</t>
    </r>
    <r>
      <rPr>
        <vertAlign val="subscript"/>
        <sz val="11"/>
        <color theme="1"/>
        <rFont val="Aptos Narrow"/>
        <family val="2"/>
        <scheme val="minor"/>
      </rPr>
      <t xml:space="preserve">IS(FAULT) </t>
    </r>
    <r>
      <rPr>
        <sz val="11"/>
        <color theme="1"/>
        <rFont val="Aptos Narrow"/>
        <family val="2"/>
        <scheme val="minor"/>
      </rPr>
      <t>and IS pin is below V</t>
    </r>
    <r>
      <rPr>
        <vertAlign val="subscript"/>
        <sz val="11"/>
        <color theme="1"/>
        <rFont val="Aptos Narrow"/>
        <family val="2"/>
        <scheme val="minor"/>
      </rPr>
      <t>IS(FAULT)</t>
    </r>
    <r>
      <rPr>
        <sz val="11"/>
        <color theme="1"/>
        <rFont val="Aptos Narrow"/>
        <family val="2"/>
        <scheme val="minor"/>
      </rPr>
      <t>, fault is flagged</t>
    </r>
  </si>
  <si>
    <t>00=30kHz, 01=60kHz, 10=90kHz, 11=150kHz</t>
  </si>
  <si>
    <r>
      <t>f</t>
    </r>
    <r>
      <rPr>
        <vertAlign val="subscript"/>
        <sz val="11"/>
        <color theme="1"/>
        <rFont val="Aptos Narrow"/>
        <family val="2"/>
        <scheme val="minor"/>
      </rPr>
      <t>IS(FAULT)</t>
    </r>
    <r>
      <rPr>
        <sz val="11"/>
        <color theme="1"/>
        <rFont val="Aptos Narrow"/>
        <family val="2"/>
        <scheme val="minor"/>
      </rPr>
      <t xml:space="preserve">  : if frequency is above f</t>
    </r>
    <r>
      <rPr>
        <vertAlign val="subscript"/>
        <sz val="11"/>
        <color theme="1"/>
        <rFont val="Aptos Narrow"/>
        <family val="2"/>
        <scheme val="minor"/>
      </rPr>
      <t>IS(FAULT)</t>
    </r>
    <r>
      <rPr>
        <sz val="11"/>
        <color theme="1"/>
        <rFont val="Aptos Narrow"/>
        <family val="2"/>
        <scheme val="minor"/>
      </rPr>
      <t xml:space="preserve"> and IS pin is below V</t>
    </r>
    <r>
      <rPr>
        <vertAlign val="subscript"/>
        <sz val="11"/>
        <color theme="1"/>
        <rFont val="Aptos Narrow"/>
        <family val="2"/>
        <scheme val="minor"/>
      </rPr>
      <t>IS(FAULT)</t>
    </r>
    <r>
      <rPr>
        <sz val="11"/>
        <color theme="1"/>
        <rFont val="Aptos Narrow"/>
        <family val="2"/>
        <scheme val="minor"/>
      </rPr>
      <t>, fault is flagged</t>
    </r>
  </si>
  <si>
    <t>VOTC REGISTER</t>
  </si>
  <si>
    <t>[5]</t>
  </si>
  <si>
    <t>Enable Ramp Compensation</t>
  </si>
  <si>
    <t>00=3m, 01=6m, 10=10m, 11=1m</t>
  </si>
  <si>
    <t>[11]</t>
  </si>
  <si>
    <t>[0]</t>
  </si>
  <si>
    <t>Weak Bleeder (en)</t>
  </si>
  <si>
    <t>[1]</t>
  </si>
  <si>
    <t>Audible Noise Reduction (en)</t>
  </si>
  <si>
    <t>[3]</t>
  </si>
  <si>
    <t>CDC Hysteresis</t>
  </si>
  <si>
    <t>00=Disabled, 01=0.5ms, 10=250ms, 11=500ms</t>
  </si>
  <si>
    <t>Secondary Heartbeat</t>
  </si>
  <si>
    <t>DCM Only Mode</t>
  </si>
  <si>
    <t>expecting auto dcm level to go here</t>
  </si>
  <si>
    <t>ADC Continuous Sampling (en)</t>
  </si>
  <si>
    <t>CP Enable Source</t>
  </si>
  <si>
    <t>00=8, 01=6, 10=4, 11=2</t>
  </si>
  <si>
    <t>expecting CC/CP control gains to go here</t>
  </si>
  <si>
    <t>00=Disabled, 01=2.5V, 10=0.5V, 11=1V</t>
  </si>
  <si>
    <t>0=Disable at low frequency, 1= Do Not Disable</t>
  </si>
  <si>
    <t>SR Low Frequency Disable</t>
  </si>
  <si>
    <t>[4]</t>
  </si>
  <si>
    <t>SR ZVS Low Frequency Disable</t>
  </si>
  <si>
    <t>00=100mV, 01=200mV, 10=300mV, 11=400mV</t>
  </si>
  <si>
    <t>SR Cross-Conduction Detection during SR ZVS (en)</t>
  </si>
  <si>
    <t>SR Cross-Conduction Detection during minimum SR on time (en)</t>
  </si>
  <si>
    <t>000=0.685us, 001: 0.8us … 110=2us, 111=2.4us</t>
  </si>
  <si>
    <t>SR Drive Block Out / Minimum Primary On-Time</t>
  </si>
  <si>
    <t>00=350ns, 01=500ns, 10=800ns, 11=1us</t>
  </si>
  <si>
    <t>Minimum SR on time</t>
  </si>
  <si>
    <t>SR ZVS OVERRIDE REGISTER</t>
  </si>
  <si>
    <t>0=Auto SR ZVS Calculation, 1=Enable Manual Over Ride</t>
  </si>
  <si>
    <t>SR ZVS manual over ride enable</t>
  </si>
  <si>
    <t>0x0 to 0x1FF = 0 to 25.55us</t>
  </si>
  <si>
    <t>SR On Time for ZVS</t>
  </si>
  <si>
    <t>0x0 to 0x3F = 0 to 3.15us</t>
  </si>
  <si>
    <t>Delay time from SR turn off to fluxlink for ZVS</t>
  </si>
  <si>
    <t>PSU RESTART REGISTER</t>
  </si>
  <si>
    <t>0 = No AR, 1 = Force AR</t>
  </si>
  <si>
    <t>Force Auto Restart of the Power Supply</t>
  </si>
  <si>
    <t>0 = No Latch Off, 1 = Force Latch Off</t>
  </si>
  <si>
    <t>Force Latch Off of the Power Supply</t>
  </si>
  <si>
    <t>STATUS REGISTER</t>
  </si>
  <si>
    <t>0 = Secondary not ready, 1 = Secondary Ready</t>
  </si>
  <si>
    <t>Secondary Ready to deliver power
in secondary control, no faults, start up complete</t>
  </si>
  <si>
    <t>0 = No Thermal Warning, 1 = Thermal Warning</t>
  </si>
  <si>
    <t>Thermal Warning Inducation</t>
  </si>
  <si>
    <t>0 = no fault, 1 = fault</t>
  </si>
  <si>
    <t>Fault Status</t>
  </si>
  <si>
    <t>Masked when indiviual faults disabled</t>
  </si>
  <si>
    <t>0 = Softstart In Progress, 1 = Softstart Complete</t>
  </si>
  <si>
    <t>Secondary Softstart Complete</t>
  </si>
  <si>
    <t>0 = Not in Secondary Control, 1 = In Secondary Control</t>
  </si>
  <si>
    <t>Secondary Control Indication</t>
  </si>
  <si>
    <t>0 = Vout Not in Regulation Window, 1 = Vout in Regulation Window</t>
  </si>
  <si>
    <t>Vout Regulation window (VFB_PG- and VFB_PG+) Indication</t>
  </si>
  <si>
    <t>[6]</t>
  </si>
  <si>
    <t>0 = Current Not Limited, 1 = CC Mode Limiting Current</t>
  </si>
  <si>
    <t>CC Mode Status</t>
  </si>
  <si>
    <t>Fast CC Mode Status</t>
  </si>
  <si>
    <t>0 = Power Not Limited, 1 = CP Mode Limiting Power</t>
  </si>
  <si>
    <t>CP Mode Status</t>
  </si>
  <si>
    <t>[9]</t>
  </si>
  <si>
    <t>0 = Protection Not Active, 1 = Protection Active</t>
  </si>
  <si>
    <t xml:space="preserve">SR Disable Protection (Over Current Protection)
IS pin exceeds ~3 times VIS(TH)MAX </t>
  </si>
  <si>
    <t>FAULT FLAG REGISTER</t>
  </si>
  <si>
    <t>SR Pin Fault</t>
  </si>
  <si>
    <t>Even if the fault is "Disabled" the fault will still be flagged here.</t>
  </si>
  <si>
    <t>FB Pin Fault</t>
  </si>
  <si>
    <t>Output OVP (FB pin) Fault</t>
  </si>
  <si>
    <t>Output OVP (VOUT pin) Fault</t>
  </si>
  <si>
    <t>Output UV (FB Pin) Fault</t>
  </si>
  <si>
    <t>Output UV (VOUT Pin) Fault</t>
  </si>
  <si>
    <t>Output OCP Fault</t>
  </si>
  <si>
    <t>OTP Fault</t>
  </si>
  <si>
    <t>BPSR/BPS OVP Fault</t>
  </si>
  <si>
    <r>
      <t>V</t>
    </r>
    <r>
      <rPr>
        <vertAlign val="subscript"/>
        <sz val="11"/>
        <color theme="1"/>
        <rFont val="Aptos Narrow"/>
        <family val="2"/>
        <scheme val="minor"/>
      </rPr>
      <t>OUT</t>
    </r>
    <r>
      <rPr>
        <sz val="11"/>
        <color theme="1"/>
        <rFont val="Aptos Narrow"/>
        <family val="2"/>
        <scheme val="minor"/>
      </rPr>
      <t xml:space="preserve"> MEASUREMENT REGISTER</t>
    </r>
  </si>
  <si>
    <t>FB MEASUREMENT REGISTER</t>
  </si>
  <si>
    <t>IS MEASUREMENT REGISTER</t>
  </si>
  <si>
    <t>SECONDARY DIE TEMPERATURE MEASUREMENT REGISTER</t>
  </si>
  <si>
    <t>IDLE RING TIMING MEASUREMENT REGISTER</t>
  </si>
  <si>
    <t>SR ZVS TIMING CALCULATION REGISTER</t>
  </si>
  <si>
    <t>CHARGE TIME MEASUREMENT REGISTER</t>
  </si>
  <si>
    <t>DISCHARGE TIME MEASUREMENT REGISTER</t>
  </si>
  <si>
    <t>CHRG DCHRG RATIO REGISTER</t>
  </si>
  <si>
    <t>000011111</t>
  </si>
  <si>
    <t>0</t>
  </si>
  <si>
    <t>11</t>
  </si>
  <si>
    <t>Data High Register (Hex)</t>
  </si>
  <si>
    <t>Data Low Register (Hex)</t>
  </si>
  <si>
    <t>[15:0]</t>
  </si>
  <si>
    <t>[12:0]</t>
  </si>
  <si>
    <t>[15:13]</t>
  </si>
  <si>
    <t>00</t>
  </si>
  <si>
    <t>Target output (FB-Pin) voltage setting 
Valid range: 0x4CD to 0x1B32 = 0.375 to 2.125V
If value set below, use 0x4CD
If value set above, use 0x1B32
305 µV / LSB</t>
  </si>
  <si>
    <t xml:space="preserve"> 0x4CD to 0x1B32 = 0.375 to 2.125V</t>
  </si>
  <si>
    <t>[8:0]</t>
  </si>
  <si>
    <t>[10:9]</t>
  </si>
  <si>
    <t>[13:12]</t>
  </si>
  <si>
    <t>[15:14]</t>
  </si>
  <si>
    <t>000</t>
  </si>
  <si>
    <t>0000</t>
  </si>
  <si>
    <t>111</t>
  </si>
  <si>
    <t>0x0 to 0x133 = 0 to 35 mV</t>
  </si>
  <si>
    <t>0 = CV Only Mode Disabled, 1 = CV Only Mode Enabled</t>
  </si>
  <si>
    <t>00 = 10.5 mV, 01 = 17.5 mV, 10 = 26.25 mV, 11 = 35 mV</t>
  </si>
  <si>
    <t>00=Fast CC Disabled, 01=120%, 10=110%, 11=100%</t>
  </si>
  <si>
    <t>CV Only Mode</t>
  </si>
  <si>
    <t>IS threshold  for Fast CC comparator</t>
  </si>
  <si>
    <t>IS threshold multiplier for Fast CC comparator</t>
  </si>
  <si>
    <t>[10:0]</t>
  </si>
  <si>
    <t>[12:11]</t>
  </si>
  <si>
    <t>Vout Pin Source: 0x133 to 0x6CC = 0.375 to 85 V
FB Pin Source: 0x0 to 0x1FF (ignore bits [10:9]) = 0.375 to 2.125V</t>
  </si>
  <si>
    <t>00 - Enable CP - Vout Pin Source
01 - Enable CP - FB Pin Source
10 - Disable CP
11 - Disable CP</t>
  </si>
  <si>
    <r>
      <t>On set voltage (V</t>
    </r>
    <r>
      <rPr>
        <vertAlign val="subscript"/>
        <sz val="11"/>
        <rFont val="Aptos Narrow"/>
        <family val="2"/>
        <scheme val="minor"/>
      </rPr>
      <t>KP</t>
    </r>
    <r>
      <rPr>
        <sz val="11"/>
        <rFont val="Aptos Narrow"/>
        <family val="2"/>
        <scheme val="minor"/>
      </rPr>
      <t>) for CP Regulation
Vout Pin Source:
Valid range: 0x133 to 0x6CC = 0.375 to 85 V
If value set below, use 0x133
If value set above, use 0x6CC
 48.85 mV/LSB
FB Pin Source:
Valid Range:  0x4D to 0x1B2 = 0.375 to 2.125V
If value set below, use 0x4D
If value set above, use 0x1B2
4.89 mV / LSB</t>
    </r>
  </si>
  <si>
    <t>010101110</t>
  </si>
  <si>
    <t>00000011111</t>
  </si>
  <si>
    <t>0x40 to 0x6FD = 3.13 to 87.52 V</t>
  </si>
  <si>
    <t>VOUT OVP voltage level
Valid range: 0x40 to 0x6FD = 3.13 to 87.52 V
If value set below, use 0x40
If value set above, use 0x6FD
48.85 mV / LSB</t>
  </si>
  <si>
    <t>Vout OVP (en)</t>
  </si>
  <si>
    <t>[15:12]</t>
  </si>
  <si>
    <t>[15:10]</t>
  </si>
  <si>
    <t>0x40 to 0x1BF = 0.313 to 2.188 V</t>
  </si>
  <si>
    <t>FB OVP voltage level
Valid range: 0x40 to 0x1BF = 0.313 to 2.188 V
If value set below, use 0x40
If value set above, use 0x1BF
4.89 mV / LSB</t>
  </si>
  <si>
    <t>VFB OVP (en)</t>
  </si>
  <si>
    <t xml:space="preserve"> 0x40 to 0x6FD = 3.13 to 87.52 V</t>
  </si>
  <si>
    <t>VOUT UV voltage level
Valid range: 0x40 to 0x6FD = 3.13 to 87.52 V
If value set below, use 0x40
If value set above, use 0x6FD
48.85 mV / LSB</t>
  </si>
  <si>
    <t>VOUT UV (en)</t>
  </si>
  <si>
    <t>FAULT RESPONSE  REGISTER</t>
  </si>
  <si>
    <t>CV/CC/CP Control</t>
  </si>
  <si>
    <t>SR/MODE Control</t>
  </si>
  <si>
    <r>
      <t>Filtered V</t>
    </r>
    <r>
      <rPr>
        <vertAlign val="subscript"/>
        <sz val="11"/>
        <color theme="1"/>
        <rFont val="Aptos Narrow"/>
        <family val="2"/>
        <scheme val="minor"/>
      </rPr>
      <t>OUT</t>
    </r>
    <r>
      <rPr>
        <sz val="11"/>
        <color theme="1"/>
        <rFont val="Aptos Narrow"/>
        <family val="2"/>
        <scheme val="minor"/>
      </rPr>
      <t xml:space="preserve"> MEASUREMENT REGISTER</t>
    </r>
  </si>
  <si>
    <t>Filtered FB MEASUREMENT REGISTER</t>
  </si>
  <si>
    <t>Filtered IS MEASUREMENT REGISTER</t>
  </si>
  <si>
    <t>Enable Misc 2</t>
  </si>
  <si>
    <t>Enable Misc 3</t>
  </si>
  <si>
    <t>SR Control 2</t>
  </si>
  <si>
    <t>[1:0]</t>
  </si>
  <si>
    <t>[3:2]</t>
  </si>
  <si>
    <t>[5:4]</t>
  </si>
  <si>
    <t>[7:6]</t>
  </si>
  <si>
    <t>[9:8]</t>
  </si>
  <si>
    <t>[11:10]</t>
  </si>
  <si>
    <t>[8:7]</t>
  </si>
  <si>
    <t>[6:2]</t>
  </si>
  <si>
    <t>[15:11]</t>
  </si>
  <si>
    <t>[2:1]</t>
  </si>
  <si>
    <t>[4:3]</t>
  </si>
  <si>
    <t>[6:5]</t>
  </si>
  <si>
    <t>{12:11]</t>
  </si>
  <si>
    <t>{15:14]</t>
  </si>
  <si>
    <t>[15:5]</t>
  </si>
  <si>
    <t>[15:2]</t>
  </si>
  <si>
    <t>[10]</t>
  </si>
  <si>
    <t>[15:9]</t>
  </si>
  <si>
    <t>[9:0]</t>
  </si>
  <si>
    <t>[7:0]</t>
  </si>
  <si>
    <t>[15:8]</t>
  </si>
  <si>
    <t>[9:1]</t>
  </si>
  <si>
    <t>[14:10]</t>
  </si>
  <si>
    <t>[15:7]</t>
  </si>
  <si>
    <t>[8:6]</t>
  </si>
  <si>
    <t xml:space="preserve"> 0x40 to 0x1BF = 0.313 to 2.188 V</t>
  </si>
  <si>
    <r>
      <t xml:space="preserve">FB UV voltage level
</t>
    </r>
    <r>
      <rPr>
        <sz val="11"/>
        <rFont val="Aptos Narrow"/>
        <family val="2"/>
        <scheme val="minor"/>
      </rPr>
      <t>Valid range: 0x40 to 0x1BF = 0.313 to 2.188 V
If value set below, use 0x40
If value set above, use 0x1BF
4.89 mV / LSB</t>
    </r>
  </si>
  <si>
    <t>FB UV (en)</t>
  </si>
  <si>
    <t>Fault Response to OVP</t>
  </si>
  <si>
    <t>00 = Enable WITH Regulation Window Fault, 
01 = Enable WITHOUT Regulation Window Fault, 
10 = Force Low,
11 = Force High</t>
  </si>
  <si>
    <t xml:space="preserve">bit 6: CDC percent polarity
1 = Negative, 0 = Positive
bits 5 - 2: CDC percent
1111 = 0%
1110 = 0.5%
1101 = 1.0%
…
0010 = 6.5%
0001 = 7.0%
0000 = 7.5%
</t>
  </si>
  <si>
    <r>
      <t>CDC Drop Compensation Gain k</t>
    </r>
    <r>
      <rPr>
        <vertAlign val="subscript"/>
        <sz val="11"/>
        <rFont val="Aptos Narrow"/>
        <family val="2"/>
        <scheme val="minor"/>
      </rPr>
      <t>CDC</t>
    </r>
  </si>
  <si>
    <t>00=6, 01=4, 10=2, 11=1</t>
  </si>
  <si>
    <t>0=Enable, 1=Disable</t>
  </si>
  <si>
    <t>SPI Watchdog Timer</t>
  </si>
  <si>
    <r>
      <t>IS ADC Filter k</t>
    </r>
    <r>
      <rPr>
        <vertAlign val="subscript"/>
        <sz val="11"/>
        <rFont val="Aptos Narrow"/>
        <family val="2"/>
        <scheme val="minor"/>
      </rPr>
      <t>FILT(IS)</t>
    </r>
  </si>
  <si>
    <r>
      <t>FB/V</t>
    </r>
    <r>
      <rPr>
        <vertAlign val="subscript"/>
        <sz val="11"/>
        <rFont val="Aptos Narrow"/>
        <family val="2"/>
        <scheme val="minor"/>
      </rPr>
      <t>OUT</t>
    </r>
    <r>
      <rPr>
        <sz val="11"/>
        <rFont val="Aptos Narrow"/>
        <family val="2"/>
        <scheme val="minor"/>
      </rPr>
      <t xml:space="preserve"> ADC Filter k</t>
    </r>
    <r>
      <rPr>
        <vertAlign val="subscript"/>
        <sz val="11"/>
        <rFont val="Aptos Narrow"/>
        <family val="2"/>
        <scheme val="minor"/>
      </rPr>
      <t>FILT(FB/VOUT)</t>
    </r>
  </si>
  <si>
    <t>00 = 0.000025, 01 = 0.00005, 10 = 0.0002, 11 = 0.0001</t>
  </si>
  <si>
    <t>CV Mode Gain</t>
  </si>
  <si>
    <t>00 = 0.0025, 01 = 0.005, 10 = 0.01, 11 = 0.02</t>
  </si>
  <si>
    <t>CV Mode Slew Rate</t>
  </si>
  <si>
    <t>00 = 0.125, 01 = 0.25, 10 - 0.5, 11 = 1</t>
  </si>
  <si>
    <t>CC/CP Mode Gain</t>
  </si>
  <si>
    <t>00 = 8, 01 = 16, 10 = 24, 11 = 32</t>
  </si>
  <si>
    <t>CC/CP Mode Slew Rate</t>
  </si>
  <si>
    <t>First Peak (QR) Switching in SR ZVS</t>
  </si>
  <si>
    <t>00=DCM Only, 01=DCM Only with KP=1, 10=CCM Enabled, 11=CCM Enabled</t>
  </si>
  <si>
    <t>0 = Current not above IS Threshold, 1 = Current above IS Threshold</t>
  </si>
  <si>
    <t>GDR Pin Fault</t>
  </si>
  <si>
    <t>IS Pin Fault</t>
  </si>
  <si>
    <t>0x0 to 0x7FF</t>
  </si>
  <si>
    <t>Output voltage measurement - Last VOUT Pin ADC measurement
Valid range: 0x40 to 0x6FD = 3.13 to 87.52 V
48.85 mV / LSB</t>
  </si>
  <si>
    <t>Output voltage measurement - Filtered VOUT Pin ADC 
Valid range: 0x40 to 0x6FD = 3.13 to 87.52 V
48.85 mV / LSB</t>
  </si>
  <si>
    <t>FB Pin measurement - Last FB Pin ADC measurement
Valid range: 0x40 to 0x1BF = 0.313 to 2.188 V
4.89 mV / LSB</t>
  </si>
  <si>
    <t>FB Pin measurement - Filtered FB Pin ADC
Valid range: 0x40 to 0x1BF = 0.313 to 2.188 V
4.89 mV / LSB</t>
  </si>
  <si>
    <t>Output current measurement - Last IS PIN ADC measurement
Valid Range: 0x0 to 0x14D = 0 to 38 mV
VIS: 114 µV / LSB
Current = VIS / RIS</t>
  </si>
  <si>
    <t>Output current measurement - Filtered IS Pin ADC
Valid Range: 0x0 to 0x14D = 0 to 38 mV
VIS: 114 µV / LSB
Current = VIS / RIS</t>
  </si>
  <si>
    <t>Monitors die temperature - Last Temp ADC measurement
Valid Range: 0xCA to 0x19E = 0.986 to 2.026 V
Temp Range: -40 to 200 C
4.33 mV / C</t>
  </si>
  <si>
    <t>0x0 to 0x3FF</t>
  </si>
  <si>
    <t>Monitors Idle ring timing
50 ns / LSB</t>
  </si>
  <si>
    <t>Monitors SR ZVS timing
50 ns / LSB</t>
  </si>
  <si>
    <t>Monitors Charge time
50 ns / LSB</t>
  </si>
  <si>
    <t>Monitors Discharge time
50 ns / LSB</t>
  </si>
  <si>
    <t xml:space="preserve">Represents a decimal number:
bit 7: 2^3 = 8
bit 6: 2^2 = 4
bit 5: 2^1 = 2
bit 4: 2^0 = 1
bit 3: 2^-1 = 0.5
bit 2: 2^-2 = 0.25
bit 1: 2^-3 = 0.125
bit 0: 2^-4 = 0.0625
</t>
  </si>
  <si>
    <t xml:space="preserve">Monitors Charge to Discharge Ratio </t>
  </si>
  <si>
    <t>00 = 1u, 01 = 750 ns, 10 = 500 ns, 11 = 250 ns</t>
  </si>
  <si>
    <t>Discharge Detection Filter Time TFWD_FILTER</t>
  </si>
  <si>
    <r>
      <t>00=Linked to SR Off threshold V</t>
    </r>
    <r>
      <rPr>
        <vertAlign val="subscript"/>
        <sz val="11"/>
        <color theme="1"/>
        <rFont val="Aptos Narrow"/>
        <family val="2"/>
        <scheme val="minor"/>
      </rPr>
      <t>SROFF(TH)</t>
    </r>
    <r>
      <rPr>
        <sz val="11"/>
        <color theme="1"/>
        <rFont val="Aptos Narrow"/>
        <family val="2"/>
        <scheme val="minor"/>
      </rPr>
      <t>, 01=+20mV, 10=+100mV, 11=+50mV</t>
    </r>
  </si>
  <si>
    <t>CCM to DCM transition threshold VDCM(TH)</t>
  </si>
  <si>
    <t>Split Winding Imbalance minimum SR On time</t>
  </si>
  <si>
    <t>Split Winding Imbalance Detect discharge with idle ring comparator</t>
  </si>
  <si>
    <t>00 = 1, 01 = 2, 10 = 3, 11 = Disable</t>
  </si>
  <si>
    <t>Unwanted Pulse Count before SR Disable</t>
  </si>
  <si>
    <t>Mission Mode Debug</t>
  </si>
  <si>
    <t>Death Rattle Enable</t>
  </si>
  <si>
    <t>00 = 50ns, 01 = 100 ns, 10 = 150 ns, 11 = 200 ns</t>
  </si>
  <si>
    <t>SR Turn On Delay</t>
  </si>
  <si>
    <t>00 = auto, 01 = 100 ns, 10 = 200 ns, 11 = 300 ns</t>
  </si>
  <si>
    <t>SR Turn Off Delay</t>
  </si>
  <si>
    <t>Asynchronous SR Gate Low Blocking (during SR ZVS)</t>
  </si>
  <si>
    <t>FluxLink Advance Time</t>
  </si>
  <si>
    <t>00=2.4uS, 01=1.6uS, 10=0.8uS, 11=1.2uS</t>
  </si>
  <si>
    <t>Integrator Gain, GMINT</t>
  </si>
  <si>
    <t>00=390uS, 01=260uS, 10=130uS, 11=195uS</t>
  </si>
  <si>
    <t>Proportional Gain, GMPROP</t>
  </si>
  <si>
    <t xml:space="preserve">0=200kΩ, 1=100kΩ </t>
  </si>
  <si>
    <t>Summing Resistor, RSUM</t>
  </si>
  <si>
    <t>00=15.8uS, 01=10.4uS, 10=1.6uS, 11=5.2uS</t>
  </si>
  <si>
    <t>Off Time Ramp Gain, GMRAMP</t>
  </si>
  <si>
    <t>Ramp Compensation Gain, GCOMP</t>
  </si>
  <si>
    <t>SR gate threshold  VSR(TH)CHECK to reach before primary switches</t>
  </si>
  <si>
    <t>SR Cross-Conduction Detection threshold, VSR-ZVS(OFF)</t>
  </si>
  <si>
    <t>00=100ns, 01=150ns, 10=200ns, 11=250ns</t>
  </si>
  <si>
    <t>Minimum SR ZVS on time</t>
  </si>
  <si>
    <t>0 = 8V, 1 = 5V</t>
  </si>
  <si>
    <t>SR Gate Drive Voltage</t>
  </si>
  <si>
    <t>00 = SR ZVS, 01 = ZV (Clamp-Zero), 10 = No QR, 11 = QR</t>
  </si>
  <si>
    <t>QR/ZVS Modes</t>
  </si>
  <si>
    <t>0 = Disable SR and SR ZVS, 1 = Generate SR Fault</t>
  </si>
  <si>
    <t xml:space="preserve">Fault Response to SR Pin Short </t>
  </si>
  <si>
    <t>Fault Response to SR Pin Open</t>
  </si>
  <si>
    <t>Fault Response to GDR Pin Fault</t>
  </si>
  <si>
    <t xml:space="preserve">Fault Response to GND and SR GND Open </t>
  </si>
  <si>
    <t>IS pin voltage:
If CV Only Mode Enabled, OCP
If CV Only Mode Disabled, CC Current Regulation
Valid Range: 0x0 to 0x133 = 0 to 35 mV
if value set above, use 0x133
VIS: 114 µV / LSB
OCP/CC Level = VIS / RIS
Note: Need to add 0x5C (offset) when comparing with IS ADC value during control</t>
  </si>
  <si>
    <t>W</t>
  </si>
  <si>
    <t>11111111000</t>
  </si>
  <si>
    <t>000000</t>
  </si>
  <si>
    <t>Readback Value (bin)</t>
  </si>
  <si>
    <t>Readback Value (hex)</t>
  </si>
  <si>
    <t>Register Value (Binary)</t>
  </si>
  <si>
    <t>Install  Keysight IO Libraries Suite or NI‑VISA</t>
  </si>
  <si>
    <t>Press ALT + F11 , Go to Tools -&gt; Reference and click VISA-COM 488.2 Formatted  I/O 5.14 and VISA-COM 5.14 Type Library as shown below</t>
  </si>
  <si>
    <t>Goto Module2  and  set the COM PORT available on this line of code: Set arduino.IO = mgr.Open("ASRL26")</t>
  </si>
  <si>
    <t>Goto Inno6AQ sheet press the Connect button before using the other buttons</t>
  </si>
  <si>
    <t>0101010101010101</t>
  </si>
  <si>
    <t>00AE</t>
  </si>
  <si>
    <t>0010011001101</t>
  </si>
  <si>
    <t>04CD</t>
  </si>
  <si>
    <t>001F</t>
  </si>
  <si>
    <t>07F8</t>
  </si>
  <si>
    <t>00011111</t>
  </si>
  <si>
    <t>1</t>
  </si>
  <si>
    <t>101010</t>
  </si>
  <si>
    <t>11111111111</t>
  </si>
  <si>
    <t>11111111</t>
  </si>
  <si>
    <t>07FF</t>
  </si>
  <si>
    <t>111111111</t>
  </si>
  <si>
    <t>111111</t>
  </si>
  <si>
    <t>01FF</t>
  </si>
  <si>
    <t>01</t>
  </si>
  <si>
    <t>10</t>
  </si>
  <si>
    <t>0101</t>
  </si>
  <si>
    <t>Enable Misc1</t>
  </si>
  <si>
    <t>11111</t>
  </si>
  <si>
    <t>00001</t>
  </si>
  <si>
    <t>00000</t>
  </si>
  <si>
    <t>FEAB</t>
  </si>
  <si>
    <t>FFD8</t>
  </si>
  <si>
    <t>00000000000</t>
  </si>
  <si>
    <t>00000000000000</t>
  </si>
  <si>
    <t>1111111111</t>
  </si>
  <si>
    <t>03FF</t>
  </si>
  <si>
    <t>00000000111</t>
  </si>
  <si>
    <t>0007</t>
  </si>
  <si>
    <t>000000000</t>
  </si>
  <si>
    <t>0000000</t>
  </si>
  <si>
    <t>00000000</t>
  </si>
  <si>
    <t>0000111</t>
  </si>
  <si>
    <t>00FF</t>
  </si>
  <si>
    <t>110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</si>
</sst>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vertAlign val="subscript"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name val="Aptos Narrow"/>
      <family val="2"/>
      <scheme val="minor"/>
    </font>
    <font>
      <vertAlign val="subscript"/>
      <sz val="1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</fills>
  <borders count="12">
    <border>
      <left/>
      <right/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/>
      <diagonal/>
    </border>
    <border>
      <left style="thin">
        <color theme="2" tint="-0.249977111117893"/>
      </left>
      <right style="thin">
        <color theme="2" tint="-0.249977111117893"/>
      </right>
      <top/>
      <bottom/>
      <diagonal/>
    </border>
    <border>
      <left style="thin">
        <color theme="2" tint="-0.249977111117893"/>
      </left>
      <right style="thin">
        <color theme="2" tint="-0.249977111117893"/>
      </right>
      <top/>
      <bottom style="thin">
        <color theme="2" tint="-0.249977111117893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2" tint="-0.249977111117893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4" fillId="2" borderId="0" applyNumberFormat="0" applyBorder="0" applyAlignment="0" applyProtection="0"/>
  </cellStyleXfs>
  <cellXfs count="82">
    <xf numFmtId="0" fontId="0" fillId="0" borderId="0" xfId="0"/>
    <xf numFmtId="0" fontId="0" fillId="0" borderId="3" xfId="0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4" xfId="0" applyBorder="1" applyAlignme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vertical="center"/>
    </xf>
    <xf numFmtId="0" fontId="0" fillId="0" borderId="1" xfId="0" applyBorder="1"/>
    <xf numFmtId="0" fontId="0" fillId="0" borderId="5" xfId="0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6" xfId="0" applyBorder="1" applyAlignment="1">
      <alignment horizontal="center" vertical="center"/>
    </xf>
    <xf numFmtId="0" fontId="4" fillId="2" borderId="6" xfId="1" applyBorder="1" applyAlignment="1">
      <alignment horizontal="center" vertical="center"/>
    </xf>
    <xf numFmtId="0" fontId="4" fillId="2" borderId="6" xfId="1" applyBorder="1" applyAlignment="1">
      <alignment horizontal="left" vertical="center"/>
    </xf>
    <xf numFmtId="0" fontId="0" fillId="0" borderId="6" xfId="0" applyBorder="1" applyAlignment="1">
      <alignment vertical="center"/>
    </xf>
    <xf numFmtId="0" fontId="4" fillId="2" borderId="6" xfId="1" applyBorder="1" applyAlignment="1">
      <alignment vertical="center"/>
    </xf>
    <xf numFmtId="0" fontId="4" fillId="2" borderId="6" xfId="1" applyBorder="1" applyAlignment="1">
      <alignment horizontal="center" vertical="center" wrapText="1"/>
    </xf>
    <xf numFmtId="49" fontId="4" fillId="2" borderId="6" xfId="1" applyNumberFormat="1" applyBorder="1" applyAlignment="1">
      <alignment horizontal="center" vertical="center" wrapText="1"/>
    </xf>
    <xf numFmtId="2" fontId="4" fillId="2" borderId="6" xfId="1" applyNumberFormat="1" applyBorder="1" applyAlignment="1">
      <alignment horizontal="center" vertical="center" wrapText="1"/>
    </xf>
    <xf numFmtId="49" fontId="4" fillId="2" borderId="6" xfId="1" applyNumberFormat="1" applyBorder="1" applyAlignment="1">
      <alignment horizontal="center" vertical="center"/>
    </xf>
    <xf numFmtId="49" fontId="0" fillId="0" borderId="6" xfId="0" applyNumberFormat="1" applyBorder="1" applyAlignment="1">
      <alignment horizontal="center" vertical="center"/>
    </xf>
    <xf numFmtId="0" fontId="3" fillId="0" borderId="6" xfId="0" applyFont="1" applyBorder="1" applyAlignment="1">
      <alignment horizontal="left" vertical="center"/>
    </xf>
    <xf numFmtId="0" fontId="3" fillId="0" borderId="6" xfId="0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center" vertical="center" wrapText="1"/>
    </xf>
    <xf numFmtId="0" fontId="0" fillId="0" borderId="6" xfId="0" applyBorder="1"/>
    <xf numFmtId="0" fontId="0" fillId="0" borderId="6" xfId="0" applyBorder="1" applyAlignment="1">
      <alignment wrapText="1"/>
    </xf>
    <xf numFmtId="49" fontId="0" fillId="0" borderId="6" xfId="0" quotePrefix="1" applyNumberForma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4" fillId="2" borderId="7" xfId="1" applyBorder="1" applyAlignment="1">
      <alignment horizontal="center" vertical="center"/>
    </xf>
    <xf numFmtId="49" fontId="0" fillId="0" borderId="7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 wrapText="1"/>
    </xf>
    <xf numFmtId="0" fontId="0" fillId="5" borderId="6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 wrapText="1"/>
    </xf>
    <xf numFmtId="49" fontId="5" fillId="3" borderId="6" xfId="0" applyNumberFormat="1" applyFont="1" applyFill="1" applyBorder="1" applyAlignment="1">
      <alignment horizontal="center" vertical="center" wrapText="1"/>
    </xf>
    <xf numFmtId="0" fontId="0" fillId="6" borderId="6" xfId="0" applyFill="1" applyBorder="1" applyAlignment="1">
      <alignment horizontal="center" vertical="center"/>
    </xf>
    <xf numFmtId="0" fontId="5" fillId="6" borderId="6" xfId="0" applyFont="1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 wrapText="1"/>
    </xf>
    <xf numFmtId="0" fontId="5" fillId="6" borderId="6" xfId="0" applyFont="1" applyFill="1" applyBorder="1" applyAlignment="1">
      <alignment horizontal="center" vertical="center" wrapText="1"/>
    </xf>
    <xf numFmtId="0" fontId="0" fillId="0" borderId="6" xfId="0" applyBorder="1" applyAlignment="1">
      <alignment vertical="center" wrapText="1"/>
    </xf>
    <xf numFmtId="49" fontId="0" fillId="0" borderId="0" xfId="0" applyNumberFormat="1" applyAlignment="1">
      <alignment horizontal="center" vertical="center"/>
    </xf>
    <xf numFmtId="49" fontId="3" fillId="0" borderId="6" xfId="0" applyNumberFormat="1" applyFont="1" applyBorder="1" applyAlignment="1">
      <alignment horizontal="center" vertical="center"/>
    </xf>
    <xf numFmtId="49" fontId="4" fillId="2" borderId="6" xfId="1" applyNumberFormat="1" applyBorder="1"/>
    <xf numFmtId="49" fontId="0" fillId="0" borderId="4" xfId="0" applyNumberFormat="1" applyBorder="1" applyAlignment="1">
      <alignment vertical="center"/>
    </xf>
    <xf numFmtId="49" fontId="0" fillId="0" borderId="1" xfId="0" applyNumberFormat="1" applyBorder="1" applyAlignment="1">
      <alignment vertical="center"/>
    </xf>
    <xf numFmtId="49" fontId="0" fillId="0" borderId="1" xfId="0" applyNumberFormat="1" applyBorder="1" applyAlignment="1">
      <alignment horizontal="center" vertical="center"/>
    </xf>
    <xf numFmtId="49" fontId="0" fillId="0" borderId="6" xfId="0" applyNumberFormat="1" applyBorder="1" applyAlignment="1">
      <alignment horizontal="center"/>
    </xf>
    <xf numFmtId="0" fontId="3" fillId="0" borderId="6" xfId="0" applyFont="1" applyBorder="1" applyAlignment="1">
      <alignment horizontal="center" vertical="center" wrapText="1"/>
    </xf>
    <xf numFmtId="0" fontId="4" fillId="2" borderId="11" xfId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4" fillId="2" borderId="8" xfId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4" fillId="2" borderId="6" xfId="1" applyBorder="1" applyAlignment="1">
      <alignment horizont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6" borderId="6" xfId="0" applyFont="1" applyFill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6" borderId="9" xfId="0" applyFont="1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49" fontId="0" fillId="0" borderId="6" xfId="0" applyNumberFormat="1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</cellXfs>
  <cellStyles count="2">
    <cellStyle name="Neutral" xfId="1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0.png"/><Relationship Id="rId2" Type="http://schemas.openxmlformats.org/officeDocument/2006/relationships/image" Target="../media/image39.png"/><Relationship Id="rId1" Type="http://schemas.openxmlformats.org/officeDocument/2006/relationships/image" Target="../media/image38.png"/><Relationship Id="rId5" Type="http://schemas.openxmlformats.org/officeDocument/2006/relationships/image" Target="../media/image42.png"/><Relationship Id="rId4" Type="http://schemas.openxmlformats.org/officeDocument/2006/relationships/image" Target="../media/image4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5.png"/><Relationship Id="rId2" Type="http://schemas.openxmlformats.org/officeDocument/2006/relationships/image" Target="../media/image44.png"/><Relationship Id="rId1" Type="http://schemas.openxmlformats.org/officeDocument/2006/relationships/image" Target="../media/image43.png"/><Relationship Id="rId5" Type="http://schemas.openxmlformats.org/officeDocument/2006/relationships/image" Target="../media/image47.png"/><Relationship Id="rId4" Type="http://schemas.openxmlformats.org/officeDocument/2006/relationships/image" Target="../media/image46.png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" Type="http://schemas.openxmlformats.org/officeDocument/2006/relationships/image" Target="../media/image8.emf"/><Relationship Id="rId21" Type="http://schemas.openxmlformats.org/officeDocument/2006/relationships/image" Target="../media/image21.emf"/><Relationship Id="rId34" Type="http://schemas.openxmlformats.org/officeDocument/2006/relationships/image" Target="../media/image34.emf"/><Relationship Id="rId7" Type="http://schemas.openxmlformats.org/officeDocument/2006/relationships/image" Target="../media/image2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33" Type="http://schemas.openxmlformats.org/officeDocument/2006/relationships/image" Target="../media/image33.emf"/><Relationship Id="rId2" Type="http://schemas.openxmlformats.org/officeDocument/2006/relationships/image" Target="../media/image7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1" Type="http://schemas.openxmlformats.org/officeDocument/2006/relationships/image" Target="../media/image6.emf"/><Relationship Id="rId6" Type="http://schemas.openxmlformats.org/officeDocument/2006/relationships/image" Target="../media/image3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32" Type="http://schemas.openxmlformats.org/officeDocument/2006/relationships/image" Target="../media/image32.emf"/><Relationship Id="rId5" Type="http://schemas.openxmlformats.org/officeDocument/2006/relationships/image" Target="../media/image4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36" Type="http://schemas.openxmlformats.org/officeDocument/2006/relationships/image" Target="../media/image36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" Type="http://schemas.openxmlformats.org/officeDocument/2006/relationships/image" Target="../media/image5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Relationship Id="rId35" Type="http://schemas.openxmlformats.org/officeDocument/2006/relationships/image" Target="../media/image35.emf"/><Relationship Id="rId8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590550</xdr:colOff>
          <xdr:row>14</xdr:row>
          <xdr:rowOff>523875</xdr:rowOff>
        </xdr:from>
        <xdr:to>
          <xdr:col>16</xdr:col>
          <xdr:colOff>5443</xdr:colOff>
          <xdr:row>14</xdr:row>
          <xdr:rowOff>1476375</xdr:rowOff>
        </xdr:to>
        <xdr:sp macro="" textlink="">
          <xdr:nvSpPr>
            <xdr:cNvPr id="1025" name="CC_Contro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1884588</xdr:colOff>
      <xdr:row>1</xdr:row>
      <xdr:rowOff>2721</xdr:rowOff>
    </xdr:from>
    <xdr:to>
      <xdr:col>7</xdr:col>
      <xdr:colOff>699407</xdr:colOff>
      <xdr:row>5</xdr:row>
      <xdr:rowOff>35378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1268074" y="231321"/>
          <a:ext cx="3277962" cy="94705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400"/>
            <a:t>INNO6-AQ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24</xdr:row>
          <xdr:rowOff>57150</xdr:rowOff>
        </xdr:from>
        <xdr:to>
          <xdr:col>16</xdr:col>
          <xdr:colOff>28575</xdr:colOff>
          <xdr:row>26</xdr:row>
          <xdr:rowOff>104775</xdr:rowOff>
        </xdr:to>
        <xdr:sp macro="" textlink="">
          <xdr:nvSpPr>
            <xdr:cNvPr id="1029" name="Vout_OVP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28</xdr:row>
          <xdr:rowOff>247650</xdr:rowOff>
        </xdr:from>
        <xdr:to>
          <xdr:col>16</xdr:col>
          <xdr:colOff>28575</xdr:colOff>
          <xdr:row>28</xdr:row>
          <xdr:rowOff>714375</xdr:rowOff>
        </xdr:to>
        <xdr:sp macro="" textlink="">
          <xdr:nvSpPr>
            <xdr:cNvPr id="1030" name="Vfb_OVP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542925</xdr:colOff>
          <xdr:row>2</xdr:row>
          <xdr:rowOff>0</xdr:rowOff>
        </xdr:from>
        <xdr:to>
          <xdr:col>16</xdr:col>
          <xdr:colOff>5443</xdr:colOff>
          <xdr:row>4</xdr:row>
          <xdr:rowOff>209550</xdr:rowOff>
        </xdr:to>
        <xdr:sp macro="" textlink="">
          <xdr:nvSpPr>
            <xdr:cNvPr id="1032" name="Connec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10</xdr:row>
          <xdr:rowOff>219075</xdr:rowOff>
        </xdr:from>
        <xdr:to>
          <xdr:col>16</xdr:col>
          <xdr:colOff>47625</xdr:colOff>
          <xdr:row>11</xdr:row>
          <xdr:rowOff>904875</xdr:rowOff>
        </xdr:to>
        <xdr:sp macro="" textlink="">
          <xdr:nvSpPr>
            <xdr:cNvPr id="1033" name="CV_Control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20</xdr:row>
          <xdr:rowOff>552450</xdr:rowOff>
        </xdr:from>
        <xdr:to>
          <xdr:col>16</xdr:col>
          <xdr:colOff>57150</xdr:colOff>
          <xdr:row>20</xdr:row>
          <xdr:rowOff>1504950</xdr:rowOff>
        </xdr:to>
        <xdr:sp macro="" textlink="">
          <xdr:nvSpPr>
            <xdr:cNvPr id="1034" name="CP_Target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8</xdr:row>
          <xdr:rowOff>219075</xdr:rowOff>
        </xdr:from>
        <xdr:to>
          <xdr:col>16</xdr:col>
          <xdr:colOff>47625</xdr:colOff>
          <xdr:row>10</xdr:row>
          <xdr:rowOff>0</xdr:rowOff>
        </xdr:to>
        <xdr:sp macro="" textlink="">
          <xdr:nvSpPr>
            <xdr:cNvPr id="1035" name="Test_Pattern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6</xdr:row>
          <xdr:rowOff>1038225</xdr:rowOff>
        </xdr:from>
        <xdr:to>
          <xdr:col>16</xdr:col>
          <xdr:colOff>28575</xdr:colOff>
          <xdr:row>7</xdr:row>
          <xdr:rowOff>371475</xdr:rowOff>
        </xdr:to>
        <xdr:sp macro="" textlink="">
          <xdr:nvSpPr>
            <xdr:cNvPr id="1036" name="Null_Register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32</xdr:row>
          <xdr:rowOff>57150</xdr:rowOff>
        </xdr:from>
        <xdr:to>
          <xdr:col>16</xdr:col>
          <xdr:colOff>28575</xdr:colOff>
          <xdr:row>34</xdr:row>
          <xdr:rowOff>0</xdr:rowOff>
        </xdr:to>
        <xdr:sp macro="" textlink="">
          <xdr:nvSpPr>
            <xdr:cNvPr id="1037" name="VVo_AR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36</xdr:row>
          <xdr:rowOff>209550</xdr:rowOff>
        </xdr:from>
        <xdr:to>
          <xdr:col>16</xdr:col>
          <xdr:colOff>38100</xdr:colOff>
          <xdr:row>38</xdr:row>
          <xdr:rowOff>123825</xdr:rowOff>
        </xdr:to>
        <xdr:sp macro="" textlink="">
          <xdr:nvSpPr>
            <xdr:cNvPr id="1038" name="Vfb_AR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41</xdr:row>
          <xdr:rowOff>209550</xdr:rowOff>
        </xdr:from>
        <xdr:to>
          <xdr:col>16</xdr:col>
          <xdr:colOff>38100</xdr:colOff>
          <xdr:row>46</xdr:row>
          <xdr:rowOff>104775</xdr:rowOff>
        </xdr:to>
        <xdr:sp macro="" textlink="">
          <xdr:nvSpPr>
            <xdr:cNvPr id="1039" name="Fault_Response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49</xdr:row>
          <xdr:rowOff>695325</xdr:rowOff>
        </xdr:from>
        <xdr:to>
          <xdr:col>16</xdr:col>
          <xdr:colOff>57150</xdr:colOff>
          <xdr:row>54</xdr:row>
          <xdr:rowOff>57150</xdr:rowOff>
        </xdr:to>
        <xdr:sp macro="" textlink="">
          <xdr:nvSpPr>
            <xdr:cNvPr id="1040" name="Fault_Con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60</xdr:row>
          <xdr:rowOff>238125</xdr:rowOff>
        </xdr:from>
        <xdr:to>
          <xdr:col>16</xdr:col>
          <xdr:colOff>28575</xdr:colOff>
          <xdr:row>60</xdr:row>
          <xdr:rowOff>1381125</xdr:rowOff>
        </xdr:to>
        <xdr:sp macro="" textlink="">
          <xdr:nvSpPr>
            <xdr:cNvPr id="1041" name="Enable_Misc1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87</xdr:row>
          <xdr:rowOff>28575</xdr:rowOff>
        </xdr:from>
        <xdr:to>
          <xdr:col>16</xdr:col>
          <xdr:colOff>28575</xdr:colOff>
          <xdr:row>92</xdr:row>
          <xdr:rowOff>19050</xdr:rowOff>
        </xdr:to>
        <xdr:sp macro="" textlink="">
          <xdr:nvSpPr>
            <xdr:cNvPr id="1042" name="Status_Register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81</xdr:row>
          <xdr:rowOff>19050</xdr:rowOff>
        </xdr:from>
        <xdr:to>
          <xdr:col>16</xdr:col>
          <xdr:colOff>28575</xdr:colOff>
          <xdr:row>83</xdr:row>
          <xdr:rowOff>209550</xdr:rowOff>
        </xdr:to>
        <xdr:sp macro="" textlink="">
          <xdr:nvSpPr>
            <xdr:cNvPr id="1043" name="PSU_Restart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590550</xdr:colOff>
          <xdr:row>75</xdr:row>
          <xdr:rowOff>28575</xdr:rowOff>
        </xdr:from>
        <xdr:to>
          <xdr:col>16</xdr:col>
          <xdr:colOff>9525</xdr:colOff>
          <xdr:row>79</xdr:row>
          <xdr:rowOff>19050</xdr:rowOff>
        </xdr:to>
        <xdr:sp macro="" textlink="">
          <xdr:nvSpPr>
            <xdr:cNvPr id="1044" name="SR_Mode_Control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590550</xdr:colOff>
          <xdr:row>65</xdr:row>
          <xdr:rowOff>180975</xdr:rowOff>
        </xdr:from>
        <xdr:to>
          <xdr:col>16</xdr:col>
          <xdr:colOff>9525</xdr:colOff>
          <xdr:row>71</xdr:row>
          <xdr:rowOff>28575</xdr:rowOff>
        </xdr:to>
        <xdr:sp macro="" textlink="">
          <xdr:nvSpPr>
            <xdr:cNvPr id="1045" name="CVCCCP_Control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99</xdr:row>
          <xdr:rowOff>28575</xdr:rowOff>
        </xdr:from>
        <xdr:to>
          <xdr:col>16</xdr:col>
          <xdr:colOff>28575</xdr:colOff>
          <xdr:row>104</xdr:row>
          <xdr:rowOff>19050</xdr:rowOff>
        </xdr:to>
        <xdr:sp macro="" textlink="">
          <xdr:nvSpPr>
            <xdr:cNvPr id="1046" name="Fault_F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110</xdr:row>
          <xdr:rowOff>9525</xdr:rowOff>
        </xdr:from>
        <xdr:to>
          <xdr:col>16</xdr:col>
          <xdr:colOff>47625</xdr:colOff>
          <xdr:row>111</xdr:row>
          <xdr:rowOff>104775</xdr:rowOff>
        </xdr:to>
        <xdr:sp macro="" textlink="">
          <xdr:nvSpPr>
            <xdr:cNvPr id="1047" name="Vout_Measure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113</xdr:row>
          <xdr:rowOff>19050</xdr:rowOff>
        </xdr:from>
        <xdr:to>
          <xdr:col>16</xdr:col>
          <xdr:colOff>57150</xdr:colOff>
          <xdr:row>114</xdr:row>
          <xdr:rowOff>28575</xdr:rowOff>
        </xdr:to>
        <xdr:sp macro="" textlink="">
          <xdr:nvSpPr>
            <xdr:cNvPr id="1048" name="Filt_Vout_Meas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115</xdr:row>
          <xdr:rowOff>228600</xdr:rowOff>
        </xdr:from>
        <xdr:to>
          <xdr:col>16</xdr:col>
          <xdr:colOff>28575</xdr:colOff>
          <xdr:row>117</xdr:row>
          <xdr:rowOff>85725</xdr:rowOff>
        </xdr:to>
        <xdr:sp macro="" textlink="">
          <xdr:nvSpPr>
            <xdr:cNvPr id="1049" name="FB_Measurement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118</xdr:row>
          <xdr:rowOff>209550</xdr:rowOff>
        </xdr:from>
        <xdr:to>
          <xdr:col>16</xdr:col>
          <xdr:colOff>5443</xdr:colOff>
          <xdr:row>120</xdr:row>
          <xdr:rowOff>85725</xdr:rowOff>
        </xdr:to>
        <xdr:sp macro="" textlink="">
          <xdr:nvSpPr>
            <xdr:cNvPr id="1050" name="Filt_FB_Mea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600075</xdr:colOff>
          <xdr:row>122</xdr:row>
          <xdr:rowOff>9525</xdr:rowOff>
        </xdr:from>
        <xdr:to>
          <xdr:col>16</xdr:col>
          <xdr:colOff>19050</xdr:colOff>
          <xdr:row>122</xdr:row>
          <xdr:rowOff>733425</xdr:rowOff>
        </xdr:to>
        <xdr:sp macro="" textlink="">
          <xdr:nvSpPr>
            <xdr:cNvPr id="1051" name="IS_Measurement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125</xdr:row>
          <xdr:rowOff>19050</xdr:rowOff>
        </xdr:from>
        <xdr:to>
          <xdr:col>16</xdr:col>
          <xdr:colOff>28575</xdr:colOff>
          <xdr:row>125</xdr:row>
          <xdr:rowOff>714375</xdr:rowOff>
        </xdr:to>
        <xdr:sp macro="" textlink="">
          <xdr:nvSpPr>
            <xdr:cNvPr id="1052" name="Filt_IS_Mea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128</xdr:row>
          <xdr:rowOff>19050</xdr:rowOff>
        </xdr:from>
        <xdr:to>
          <xdr:col>16</xdr:col>
          <xdr:colOff>0</xdr:colOff>
          <xdr:row>128</xdr:row>
          <xdr:rowOff>714375</xdr:rowOff>
        </xdr:to>
        <xdr:sp macro="" textlink="">
          <xdr:nvSpPr>
            <xdr:cNvPr id="1053" name="Sec_Die_Temp_Meas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130</xdr:row>
          <xdr:rowOff>114300</xdr:rowOff>
        </xdr:from>
        <xdr:to>
          <xdr:col>16</xdr:col>
          <xdr:colOff>9525</xdr:colOff>
          <xdr:row>132</xdr:row>
          <xdr:rowOff>209550</xdr:rowOff>
        </xdr:to>
        <xdr:sp macro="" textlink="">
          <xdr:nvSpPr>
            <xdr:cNvPr id="1054" name="Idle_Ring_Timing_Mea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137</xdr:row>
          <xdr:rowOff>28575</xdr:rowOff>
        </xdr:from>
        <xdr:to>
          <xdr:col>16</xdr:col>
          <xdr:colOff>38100</xdr:colOff>
          <xdr:row>139</xdr:row>
          <xdr:rowOff>28575</xdr:rowOff>
        </xdr:to>
        <xdr:sp macro="" textlink="">
          <xdr:nvSpPr>
            <xdr:cNvPr id="1055" name="CT_Measure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600075</xdr:colOff>
          <xdr:row>133</xdr:row>
          <xdr:rowOff>152400</xdr:rowOff>
        </xdr:from>
        <xdr:to>
          <xdr:col>16</xdr:col>
          <xdr:colOff>28575</xdr:colOff>
          <xdr:row>136</xdr:row>
          <xdr:rowOff>0</xdr:rowOff>
        </xdr:to>
        <xdr:sp macro="" textlink="">
          <xdr:nvSpPr>
            <xdr:cNvPr id="1056" name="SR_ZVS_Timing_Calc_Mea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140</xdr:row>
          <xdr:rowOff>95250</xdr:rowOff>
        </xdr:from>
        <xdr:to>
          <xdr:col>16</xdr:col>
          <xdr:colOff>57150</xdr:colOff>
          <xdr:row>142</xdr:row>
          <xdr:rowOff>9525</xdr:rowOff>
        </xdr:to>
        <xdr:sp macro="" textlink="">
          <xdr:nvSpPr>
            <xdr:cNvPr id="1057" name="DTime_Measur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143</xdr:row>
          <xdr:rowOff>504825</xdr:rowOff>
        </xdr:from>
        <xdr:to>
          <xdr:col>16</xdr:col>
          <xdr:colOff>28575</xdr:colOff>
          <xdr:row>143</xdr:row>
          <xdr:rowOff>1190625</xdr:rowOff>
        </xdr:to>
        <xdr:sp macro="" textlink="">
          <xdr:nvSpPr>
            <xdr:cNvPr id="1058" name="CT_DT_Ration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173</xdr:row>
          <xdr:rowOff>0</xdr:rowOff>
        </xdr:from>
        <xdr:to>
          <xdr:col>16</xdr:col>
          <xdr:colOff>57150</xdr:colOff>
          <xdr:row>176</xdr:row>
          <xdr:rowOff>0</xdr:rowOff>
        </xdr:to>
        <xdr:sp macro="" textlink="">
          <xdr:nvSpPr>
            <xdr:cNvPr id="1059" name="srZVS_O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178</xdr:row>
          <xdr:rowOff>38100</xdr:rowOff>
        </xdr:from>
        <xdr:to>
          <xdr:col>16</xdr:col>
          <xdr:colOff>57150</xdr:colOff>
          <xdr:row>181</xdr:row>
          <xdr:rowOff>38100</xdr:rowOff>
        </xdr:to>
        <xdr:sp macro="" textlink="">
          <xdr:nvSpPr>
            <xdr:cNvPr id="1061" name="Enable_Misc2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186</xdr:row>
          <xdr:rowOff>19050</xdr:rowOff>
        </xdr:from>
        <xdr:to>
          <xdr:col>16</xdr:col>
          <xdr:colOff>57150</xdr:colOff>
          <xdr:row>189</xdr:row>
          <xdr:rowOff>19050</xdr:rowOff>
        </xdr:to>
        <xdr:sp macro="" textlink="">
          <xdr:nvSpPr>
            <xdr:cNvPr id="1062" name="Enable_Misc3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192</xdr:row>
          <xdr:rowOff>19050</xdr:rowOff>
        </xdr:from>
        <xdr:to>
          <xdr:col>16</xdr:col>
          <xdr:colOff>38100</xdr:colOff>
          <xdr:row>195</xdr:row>
          <xdr:rowOff>19050</xdr:rowOff>
        </xdr:to>
        <xdr:sp macro="" textlink="">
          <xdr:nvSpPr>
            <xdr:cNvPr id="1063" name="VOTC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200</xdr:row>
          <xdr:rowOff>209550</xdr:rowOff>
        </xdr:from>
        <xdr:to>
          <xdr:col>16</xdr:col>
          <xdr:colOff>19050</xdr:colOff>
          <xdr:row>203</xdr:row>
          <xdr:rowOff>209550</xdr:rowOff>
        </xdr:to>
        <xdr:sp macro="" textlink="">
          <xdr:nvSpPr>
            <xdr:cNvPr id="1064" name="SR_Control2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210</xdr:row>
          <xdr:rowOff>19050</xdr:rowOff>
        </xdr:from>
        <xdr:to>
          <xdr:col>16</xdr:col>
          <xdr:colOff>38100</xdr:colOff>
          <xdr:row>213</xdr:row>
          <xdr:rowOff>19050</xdr:rowOff>
        </xdr:to>
        <xdr:sp macro="" textlink="">
          <xdr:nvSpPr>
            <xdr:cNvPr id="1065" name="Fault_Response2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601980</xdr:colOff>
      <xdr:row>8</xdr:row>
      <xdr:rowOff>22860</xdr:rowOff>
    </xdr:from>
    <xdr:to>
      <xdr:col>5</xdr:col>
      <xdr:colOff>522643</xdr:colOff>
      <xdr:row>31</xdr:row>
      <xdr:rowOff>8205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F4EE4F84-E979-D73D-CE57-BE0FBC360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1980" y="1485900"/>
          <a:ext cx="4820323" cy="419158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590550</xdr:colOff>
      <xdr:row>3</xdr:row>
      <xdr:rowOff>38101</xdr:rowOff>
    </xdr:from>
    <xdr:to>
      <xdr:col>11</xdr:col>
      <xdr:colOff>238125</xdr:colOff>
      <xdr:row>37</xdr:row>
      <xdr:rowOff>57151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605CA37-2A6E-8983-D6E7-19943930B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0150" y="609601"/>
          <a:ext cx="5743575" cy="649605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3</xdr:row>
      <xdr:rowOff>0</xdr:rowOff>
    </xdr:from>
    <xdr:to>
      <xdr:col>21</xdr:col>
      <xdr:colOff>162628</xdr:colOff>
      <xdr:row>46</xdr:row>
      <xdr:rowOff>58301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2003D75F-A981-0FD6-A4A6-1F116C1EE7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24800" y="571500"/>
          <a:ext cx="5039428" cy="8249801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44</xdr:row>
      <xdr:rowOff>0</xdr:rowOff>
    </xdr:from>
    <xdr:to>
      <xdr:col>10</xdr:col>
      <xdr:colOff>19733</xdr:colOff>
      <xdr:row>86</xdr:row>
      <xdr:rowOff>153538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A9907C20-1E1C-0645-8170-3B08ACC241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19200" y="8382000"/>
          <a:ext cx="4896533" cy="815453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50</xdr:row>
      <xdr:rowOff>0</xdr:rowOff>
    </xdr:from>
    <xdr:to>
      <xdr:col>21</xdr:col>
      <xdr:colOff>681</xdr:colOff>
      <xdr:row>90</xdr:row>
      <xdr:rowOff>153485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19FA0E72-FC6F-3843-CE8B-C876CDDEEF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924800" y="9525000"/>
          <a:ext cx="4877481" cy="777348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94</xdr:row>
      <xdr:rowOff>0</xdr:rowOff>
    </xdr:from>
    <xdr:to>
      <xdr:col>11</xdr:col>
      <xdr:colOff>153102</xdr:colOff>
      <xdr:row>103</xdr:row>
      <xdr:rowOff>85976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7C813C-7AF3-EF0D-58BE-F504E8D0BD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828800" y="17907000"/>
          <a:ext cx="5029902" cy="18004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601980</xdr:colOff>
      <xdr:row>3</xdr:row>
      <xdr:rowOff>0</xdr:rowOff>
    </xdr:from>
    <xdr:to>
      <xdr:col>28</xdr:col>
      <xdr:colOff>266700</xdr:colOff>
      <xdr:row>33</xdr:row>
      <xdr:rowOff>105625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8718A42-8699-92F7-B1E3-8294774C0A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1980" y="548640"/>
          <a:ext cx="16733520" cy="5592025"/>
        </a:xfrm>
        <a:prstGeom prst="rect">
          <a:avLst/>
        </a:prstGeom>
      </xdr:spPr>
    </xdr:pic>
    <xdr:clientData/>
  </xdr:twoCellAnchor>
  <xdr:twoCellAnchor>
    <xdr:from>
      <xdr:col>14</xdr:col>
      <xdr:colOff>76200</xdr:colOff>
      <xdr:row>6</xdr:row>
      <xdr:rowOff>76200</xdr:rowOff>
    </xdr:from>
    <xdr:to>
      <xdr:col>14</xdr:col>
      <xdr:colOff>579120</xdr:colOff>
      <xdr:row>8</xdr:row>
      <xdr:rowOff>30480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9AA7432-A08A-0B99-51D7-39B7A525A4DF}"/>
            </a:ext>
          </a:extLst>
        </xdr:cNvPr>
        <xdr:cNvSpPr/>
      </xdr:nvSpPr>
      <xdr:spPr>
        <a:xfrm>
          <a:off x="8610600" y="1173480"/>
          <a:ext cx="502920" cy="320040"/>
        </a:xfrm>
        <a:prstGeom prst="rect">
          <a:avLst/>
        </a:prstGeom>
        <a:noFill/>
        <a:ln w="63500" cmpd="sng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45720</xdr:colOff>
      <xdr:row>10</xdr:row>
      <xdr:rowOff>38100</xdr:rowOff>
    </xdr:from>
    <xdr:to>
      <xdr:col>14</xdr:col>
      <xdr:colOff>335280</xdr:colOff>
      <xdr:row>12</xdr:row>
      <xdr:rowOff>137160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C781DF4C-38B2-4987-77E8-9C7809713C6E}"/>
            </a:ext>
          </a:extLst>
        </xdr:cNvPr>
        <xdr:cNvSpPr txBox="1"/>
      </xdr:nvSpPr>
      <xdr:spPr>
        <a:xfrm>
          <a:off x="7970520" y="1866900"/>
          <a:ext cx="899160" cy="4648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calculated CRC</a:t>
          </a:r>
          <a:r>
            <a:rPr lang="en-US" sz="1100" baseline="0"/>
            <a:t> value </a:t>
          </a:r>
          <a:endParaRPr lang="en-US" sz="1100"/>
        </a:p>
      </xdr:txBody>
    </xdr:sp>
    <xdr:clientData/>
  </xdr:twoCellAnchor>
  <xdr:twoCellAnchor>
    <xdr:from>
      <xdr:col>14</xdr:col>
      <xdr:colOff>15240</xdr:colOff>
      <xdr:row>8</xdr:row>
      <xdr:rowOff>38100</xdr:rowOff>
    </xdr:from>
    <xdr:to>
      <xdr:col>14</xdr:col>
      <xdr:colOff>198120</xdr:colOff>
      <xdr:row>10</xdr:row>
      <xdr:rowOff>53340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62CA6EC5-D0B4-5C53-C7D5-1E26FE225483}"/>
            </a:ext>
          </a:extLst>
        </xdr:cNvPr>
        <xdr:cNvCxnSpPr/>
      </xdr:nvCxnSpPr>
      <xdr:spPr>
        <a:xfrm flipV="1">
          <a:off x="8549640" y="1501140"/>
          <a:ext cx="182880" cy="38100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556260</xdr:colOff>
      <xdr:row>37</xdr:row>
      <xdr:rowOff>38100</xdr:rowOff>
    </xdr:from>
    <xdr:to>
      <xdr:col>7</xdr:col>
      <xdr:colOff>594360</xdr:colOff>
      <xdr:row>43</xdr:row>
      <xdr:rowOff>152400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7C71BD99-E098-89AA-DD2D-FF0692B8F529}"/>
            </a:ext>
          </a:extLst>
        </xdr:cNvPr>
        <xdr:cNvSpPr/>
      </xdr:nvSpPr>
      <xdr:spPr>
        <a:xfrm>
          <a:off x="2385060" y="6843548"/>
          <a:ext cx="2476500" cy="1217886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GUI</a:t>
          </a:r>
        </a:p>
      </xdr:txBody>
    </xdr:sp>
    <xdr:clientData/>
  </xdr:twoCellAnchor>
  <xdr:twoCellAnchor>
    <xdr:from>
      <xdr:col>8</xdr:col>
      <xdr:colOff>7620</xdr:colOff>
      <xdr:row>38</xdr:row>
      <xdr:rowOff>144780</xdr:rowOff>
    </xdr:from>
    <xdr:to>
      <xdr:col>9</xdr:col>
      <xdr:colOff>510540</xdr:colOff>
      <xdr:row>38</xdr:row>
      <xdr:rowOff>144780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DF220148-3362-04D9-04BE-8924BFD897BF}"/>
            </a:ext>
          </a:extLst>
        </xdr:cNvPr>
        <xdr:cNvCxnSpPr/>
      </xdr:nvCxnSpPr>
      <xdr:spPr>
        <a:xfrm>
          <a:off x="4884420" y="7094220"/>
          <a:ext cx="1112520" cy="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601980</xdr:colOff>
      <xdr:row>41</xdr:row>
      <xdr:rowOff>7620</xdr:rowOff>
    </xdr:from>
    <xdr:to>
      <xdr:col>9</xdr:col>
      <xdr:colOff>502920</xdr:colOff>
      <xdr:row>41</xdr:row>
      <xdr:rowOff>7620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B4D345E1-86A1-45FF-91A2-0D6EDAC0A3C2}"/>
            </a:ext>
          </a:extLst>
        </xdr:cNvPr>
        <xdr:cNvCxnSpPr/>
      </xdr:nvCxnSpPr>
      <xdr:spPr>
        <a:xfrm flipH="1">
          <a:off x="4869180" y="7505700"/>
          <a:ext cx="1120140" cy="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571500</xdr:colOff>
      <xdr:row>38</xdr:row>
      <xdr:rowOff>137160</xdr:rowOff>
    </xdr:from>
    <xdr:to>
      <xdr:col>16</xdr:col>
      <xdr:colOff>30480</xdr:colOff>
      <xdr:row>38</xdr:row>
      <xdr:rowOff>144780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35CAA13B-E40C-4B7E-8EA7-C204A56929DF}"/>
            </a:ext>
          </a:extLst>
        </xdr:cNvPr>
        <xdr:cNvCxnSpPr/>
      </xdr:nvCxnSpPr>
      <xdr:spPr>
        <a:xfrm flipV="1">
          <a:off x="8496300" y="7086600"/>
          <a:ext cx="1287780" cy="762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555734</xdr:colOff>
      <xdr:row>37</xdr:row>
      <xdr:rowOff>91440</xdr:rowOff>
    </xdr:from>
    <xdr:to>
      <xdr:col>13</xdr:col>
      <xdr:colOff>593834</xdr:colOff>
      <xdr:row>44</xdr:row>
      <xdr:rowOff>57806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542CF2E-0FEC-467B-AD79-E78B86CE6155}"/>
            </a:ext>
          </a:extLst>
        </xdr:cNvPr>
        <xdr:cNvSpPr/>
      </xdr:nvSpPr>
      <xdr:spPr>
        <a:xfrm>
          <a:off x="6042134" y="6896888"/>
          <a:ext cx="2476500" cy="125388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PIC24F</a:t>
          </a:r>
        </a:p>
        <a:p>
          <a:pPr algn="ctr"/>
          <a:r>
            <a:rPr lang="en-US" sz="1600"/>
            <a:t>MCU</a:t>
          </a:r>
          <a:r>
            <a:rPr lang="en-US" sz="1600" baseline="0"/>
            <a:t> interface </a:t>
          </a:r>
        </a:p>
        <a:p>
          <a:pPr algn="ctr"/>
          <a:r>
            <a:rPr lang="en-US" sz="1400" baseline="0"/>
            <a:t>(MASTER)</a:t>
          </a:r>
          <a:endParaRPr lang="en-US" sz="1400"/>
        </a:p>
      </xdr:txBody>
    </xdr:sp>
    <xdr:clientData/>
  </xdr:twoCellAnchor>
  <xdr:twoCellAnchor>
    <xdr:from>
      <xdr:col>16</xdr:col>
      <xdr:colOff>22860</xdr:colOff>
      <xdr:row>37</xdr:row>
      <xdr:rowOff>68579</xdr:rowOff>
    </xdr:from>
    <xdr:to>
      <xdr:col>20</xdr:col>
      <xdr:colOff>60960</xdr:colOff>
      <xdr:row>44</xdr:row>
      <xdr:rowOff>42040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33EF724E-9737-41EB-92E9-340839AEF19E}"/>
            </a:ext>
          </a:extLst>
        </xdr:cNvPr>
        <xdr:cNvSpPr/>
      </xdr:nvSpPr>
      <xdr:spPr>
        <a:xfrm>
          <a:off x="9776460" y="6874027"/>
          <a:ext cx="2476500" cy="126097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dSPIC33CK</a:t>
          </a:r>
        </a:p>
        <a:p>
          <a:pPr algn="ctr"/>
          <a:r>
            <a:rPr lang="en-US" sz="1600"/>
            <a:t>(Slave)</a:t>
          </a:r>
        </a:p>
      </xdr:txBody>
    </xdr:sp>
    <xdr:clientData/>
  </xdr:twoCellAnchor>
  <xdr:twoCellAnchor>
    <xdr:from>
      <xdr:col>14</xdr:col>
      <xdr:colOff>7620</xdr:colOff>
      <xdr:row>40</xdr:row>
      <xdr:rowOff>87235</xdr:rowOff>
    </xdr:from>
    <xdr:to>
      <xdr:col>15</xdr:col>
      <xdr:colOff>583324</xdr:colOff>
      <xdr:row>40</xdr:row>
      <xdr:rowOff>89338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F11299BB-9895-43FB-8D10-45CE438FC9F9}"/>
            </a:ext>
          </a:extLst>
        </xdr:cNvPr>
        <xdr:cNvCxnSpPr/>
      </xdr:nvCxnSpPr>
      <xdr:spPr>
        <a:xfrm flipH="1" flipV="1">
          <a:off x="8542020" y="7444476"/>
          <a:ext cx="1185304" cy="2103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546538</xdr:colOff>
      <xdr:row>42</xdr:row>
      <xdr:rowOff>26276</xdr:rowOff>
    </xdr:from>
    <xdr:to>
      <xdr:col>16</xdr:col>
      <xdr:colOff>5518</xdr:colOff>
      <xdr:row>42</xdr:row>
      <xdr:rowOff>33896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4C717A8D-DB60-499F-A0E3-40A428BDCD87}"/>
            </a:ext>
          </a:extLst>
        </xdr:cNvPr>
        <xdr:cNvCxnSpPr/>
      </xdr:nvCxnSpPr>
      <xdr:spPr>
        <a:xfrm flipV="1">
          <a:off x="8471338" y="7751379"/>
          <a:ext cx="1287780" cy="762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562303</xdr:colOff>
      <xdr:row>43</xdr:row>
      <xdr:rowOff>141890</xdr:rowOff>
    </xdr:from>
    <xdr:to>
      <xdr:col>16</xdr:col>
      <xdr:colOff>21283</xdr:colOff>
      <xdr:row>43</xdr:row>
      <xdr:rowOff>149510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1240F605-D11C-4C7E-8C48-58FCD666DD16}"/>
            </a:ext>
          </a:extLst>
        </xdr:cNvPr>
        <xdr:cNvCxnSpPr/>
      </xdr:nvCxnSpPr>
      <xdr:spPr>
        <a:xfrm flipV="1">
          <a:off x="8487103" y="8050924"/>
          <a:ext cx="1287780" cy="762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352098</xdr:colOff>
      <xdr:row>37</xdr:row>
      <xdr:rowOff>68318</xdr:rowOff>
    </xdr:from>
    <xdr:to>
      <xdr:col>15</xdr:col>
      <xdr:colOff>283780</xdr:colOff>
      <xdr:row>38</xdr:row>
      <xdr:rowOff>110359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3B8DEB37-62B1-0B34-20A0-23465246B75F}"/>
            </a:ext>
          </a:extLst>
        </xdr:cNvPr>
        <xdr:cNvSpPr txBox="1"/>
      </xdr:nvSpPr>
      <xdr:spPr>
        <a:xfrm>
          <a:off x="8886498" y="6873766"/>
          <a:ext cx="541282" cy="22597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MOSI</a:t>
          </a:r>
        </a:p>
      </xdr:txBody>
    </xdr:sp>
    <xdr:clientData/>
  </xdr:twoCellAnchor>
  <xdr:twoCellAnchor>
    <xdr:from>
      <xdr:col>14</xdr:col>
      <xdr:colOff>362606</xdr:colOff>
      <xdr:row>39</xdr:row>
      <xdr:rowOff>21021</xdr:rowOff>
    </xdr:from>
    <xdr:to>
      <xdr:col>15</xdr:col>
      <xdr:colOff>294288</xdr:colOff>
      <xdr:row>40</xdr:row>
      <xdr:rowOff>63062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91B8151A-B342-422A-A9AB-7E21C7D6D2F0}"/>
            </a:ext>
          </a:extLst>
        </xdr:cNvPr>
        <xdr:cNvSpPr txBox="1"/>
      </xdr:nvSpPr>
      <xdr:spPr>
        <a:xfrm>
          <a:off x="8897006" y="7194331"/>
          <a:ext cx="541282" cy="22597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MISO</a:t>
          </a:r>
        </a:p>
      </xdr:txBody>
    </xdr:sp>
    <xdr:clientData/>
  </xdr:twoCellAnchor>
  <xdr:twoCellAnchor>
    <xdr:from>
      <xdr:col>14</xdr:col>
      <xdr:colOff>378372</xdr:colOff>
      <xdr:row>40</xdr:row>
      <xdr:rowOff>126124</xdr:rowOff>
    </xdr:from>
    <xdr:to>
      <xdr:col>15</xdr:col>
      <xdr:colOff>273268</xdr:colOff>
      <xdr:row>41</xdr:row>
      <xdr:rowOff>168165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8E60B95A-69D5-46E8-997C-CCE906F28A20}"/>
            </a:ext>
          </a:extLst>
        </xdr:cNvPr>
        <xdr:cNvSpPr txBox="1"/>
      </xdr:nvSpPr>
      <xdr:spPr>
        <a:xfrm>
          <a:off x="8912772" y="7483365"/>
          <a:ext cx="504496" cy="22597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SCK</a:t>
          </a:r>
        </a:p>
      </xdr:txBody>
    </xdr:sp>
    <xdr:clientData/>
  </xdr:twoCellAnchor>
  <xdr:twoCellAnchor>
    <xdr:from>
      <xdr:col>14</xdr:col>
      <xdr:colOff>388882</xdr:colOff>
      <xdr:row>42</xdr:row>
      <xdr:rowOff>89339</xdr:rowOff>
    </xdr:from>
    <xdr:to>
      <xdr:col>15</xdr:col>
      <xdr:colOff>283778</xdr:colOff>
      <xdr:row>43</xdr:row>
      <xdr:rowOff>131380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16F4B514-8264-4508-B67B-581CFD5306F2}"/>
            </a:ext>
          </a:extLst>
        </xdr:cNvPr>
        <xdr:cNvSpPr txBox="1"/>
      </xdr:nvSpPr>
      <xdr:spPr>
        <a:xfrm>
          <a:off x="8923282" y="7814442"/>
          <a:ext cx="504496" cy="22597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CS</a:t>
          </a:r>
        </a:p>
      </xdr:txBody>
    </xdr:sp>
    <xdr:clientData/>
  </xdr:twoCellAnchor>
  <xdr:twoCellAnchor>
    <xdr:from>
      <xdr:col>8</xdr:col>
      <xdr:colOff>310056</xdr:colOff>
      <xdr:row>37</xdr:row>
      <xdr:rowOff>68317</xdr:rowOff>
    </xdr:from>
    <xdr:to>
      <xdr:col>9</xdr:col>
      <xdr:colOff>241738</xdr:colOff>
      <xdr:row>38</xdr:row>
      <xdr:rowOff>110358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FCE35E7C-4A70-4203-ABED-10050AB16674}"/>
            </a:ext>
          </a:extLst>
        </xdr:cNvPr>
        <xdr:cNvSpPr txBox="1"/>
      </xdr:nvSpPr>
      <xdr:spPr>
        <a:xfrm>
          <a:off x="5186856" y="6873765"/>
          <a:ext cx="541282" cy="22597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TX</a:t>
          </a:r>
        </a:p>
      </xdr:txBody>
    </xdr:sp>
    <xdr:clientData/>
  </xdr:twoCellAnchor>
  <xdr:twoCellAnchor>
    <xdr:from>
      <xdr:col>8</xdr:col>
      <xdr:colOff>310056</xdr:colOff>
      <xdr:row>41</xdr:row>
      <xdr:rowOff>57807</xdr:rowOff>
    </xdr:from>
    <xdr:to>
      <xdr:col>9</xdr:col>
      <xdr:colOff>241738</xdr:colOff>
      <xdr:row>42</xdr:row>
      <xdr:rowOff>99848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973B061E-8DB3-4145-A4A6-A76F01CB2E04}"/>
            </a:ext>
          </a:extLst>
        </xdr:cNvPr>
        <xdr:cNvSpPr txBox="1"/>
      </xdr:nvSpPr>
      <xdr:spPr>
        <a:xfrm>
          <a:off x="5186856" y="7598979"/>
          <a:ext cx="541282" cy="22597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RX</a:t>
          </a:r>
        </a:p>
      </xdr:txBody>
    </xdr:sp>
    <xdr:clientData/>
  </xdr:twoCellAnchor>
  <xdr:twoCellAnchor editAs="oneCell">
    <xdr:from>
      <xdr:col>1</xdr:col>
      <xdr:colOff>0</xdr:colOff>
      <xdr:row>55</xdr:row>
      <xdr:rowOff>24494</xdr:rowOff>
    </xdr:from>
    <xdr:to>
      <xdr:col>27</xdr:col>
      <xdr:colOff>5445</xdr:colOff>
      <xdr:row>89</xdr:row>
      <xdr:rowOff>19051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C82785F-5CB7-4907-A82C-6BA2109E92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10202637"/>
          <a:ext cx="15855045" cy="6286500"/>
        </a:xfrm>
        <a:prstGeom prst="rect">
          <a:avLst/>
        </a:prstGeom>
      </xdr:spPr>
    </xdr:pic>
    <xdr:clientData/>
  </xdr:twoCellAnchor>
  <xdr:twoCellAnchor editAs="oneCell">
    <xdr:from>
      <xdr:col>5</xdr:col>
      <xdr:colOff>304803</xdr:colOff>
      <xdr:row>92</xdr:row>
      <xdr:rowOff>92530</xdr:rowOff>
    </xdr:from>
    <xdr:to>
      <xdr:col>26</xdr:col>
      <xdr:colOff>582388</xdr:colOff>
      <xdr:row>134</xdr:row>
      <xdr:rowOff>16330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E1227D33-5873-4036-82DB-DDA6C9406B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52803" y="17117787"/>
          <a:ext cx="13079185" cy="7696200"/>
        </a:xfrm>
        <a:prstGeom prst="rect">
          <a:avLst/>
        </a:prstGeom>
      </xdr:spPr>
    </xdr:pic>
    <xdr:clientData/>
  </xdr:twoCellAnchor>
  <xdr:twoCellAnchor editAs="oneCell">
    <xdr:from>
      <xdr:col>50</xdr:col>
      <xdr:colOff>5446</xdr:colOff>
      <xdr:row>55</xdr:row>
      <xdr:rowOff>24492</xdr:rowOff>
    </xdr:from>
    <xdr:to>
      <xdr:col>63</xdr:col>
      <xdr:colOff>27217</xdr:colOff>
      <xdr:row>102</xdr:row>
      <xdr:rowOff>30076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738332EA-6D48-4ABB-B0E0-1EF4C93058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0485446" y="10202635"/>
          <a:ext cx="7946571" cy="8703270"/>
        </a:xfrm>
        <a:prstGeom prst="rect">
          <a:avLst/>
        </a:prstGeom>
      </xdr:spPr>
    </xdr:pic>
    <xdr:clientData/>
  </xdr:twoCellAnchor>
  <xdr:twoCellAnchor editAs="oneCell">
    <xdr:from>
      <xdr:col>27</xdr:col>
      <xdr:colOff>386446</xdr:colOff>
      <xdr:row>55</xdr:row>
      <xdr:rowOff>0</xdr:rowOff>
    </xdr:from>
    <xdr:to>
      <xdr:col>48</xdr:col>
      <xdr:colOff>491289</xdr:colOff>
      <xdr:row>102</xdr:row>
      <xdr:rowOff>155048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C682D9BA-F72B-43DD-ACD1-F69A131FE4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845646" y="10178143"/>
          <a:ext cx="12906443" cy="8852734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63" Type="http://schemas.openxmlformats.org/officeDocument/2006/relationships/image" Target="../media/image30.emf"/><Relationship Id="rId68" Type="http://schemas.openxmlformats.org/officeDocument/2006/relationships/control" Target="../activeX/activeX33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66" Type="http://schemas.openxmlformats.org/officeDocument/2006/relationships/control" Target="../activeX/activeX32.xml"/><Relationship Id="rId74" Type="http://schemas.openxmlformats.org/officeDocument/2006/relationships/control" Target="../activeX/activeX36.xml"/><Relationship Id="rId5" Type="http://schemas.openxmlformats.org/officeDocument/2006/relationships/image" Target="../media/image1.emf"/><Relationship Id="rId61" Type="http://schemas.openxmlformats.org/officeDocument/2006/relationships/image" Target="../media/image29.emf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69" Type="http://schemas.openxmlformats.org/officeDocument/2006/relationships/image" Target="../media/image33.emf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ontrol" Target="../activeX/activeX35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image" Target="../media/image32.emf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control" Target="../activeX/activeX34.xml"/><Relationship Id="rId75" Type="http://schemas.openxmlformats.org/officeDocument/2006/relationships/image" Target="../media/image36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openxmlformats.org/officeDocument/2006/relationships/image" Target="../media/image35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" Type="http://schemas.openxmlformats.org/officeDocument/2006/relationships/image" Target="../media/image2.emf"/><Relationship Id="rId71" Type="http://schemas.openxmlformats.org/officeDocument/2006/relationships/image" Target="../media/image34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7CB4D-28A3-41ED-8C9F-B1EB8BA86F9C}">
  <sheetPr codeName="Sheet1"/>
  <dimension ref="A1:S272"/>
  <sheetViews>
    <sheetView tabSelected="1" topLeftCell="A71" zoomScale="70" zoomScaleNormal="70" workbookViewId="0">
      <selection activeCell="T53" sqref="T53"/>
    </sheetView>
  </sheetViews>
  <sheetFormatPr defaultColWidth="8.85546875" defaultRowHeight="18" customHeight="1" x14ac:dyDescent="0.25"/>
  <cols>
    <col min="1" max="1" width="17.28515625" style="2" bestFit="1" customWidth="1"/>
    <col min="2" max="2" width="17.5703125" style="2" bestFit="1" customWidth="1"/>
    <col min="3" max="3" width="50.7109375" style="6" bestFit="1" customWidth="1"/>
    <col min="4" max="4" width="5.5703125" style="5" customWidth="1"/>
    <col min="5" max="5" width="14.28515625" style="5" customWidth="1"/>
    <col min="6" max="6" width="26.28515625" style="53" customWidth="1"/>
    <col min="7" max="7" width="65.140625" style="5" bestFit="1" customWidth="1"/>
    <col min="8" max="8" width="18.28515625" style="5" customWidth="1"/>
    <col min="9" max="9" width="65" style="6" customWidth="1"/>
    <col min="10" max="10" width="11.28515625" style="5" customWidth="1"/>
    <col min="11" max="11" width="11" style="5" bestFit="1" customWidth="1"/>
    <col min="12" max="12" width="32.85546875" style="5" customWidth="1"/>
    <col min="13" max="13" width="16.42578125" style="5" customWidth="1"/>
    <col min="14" max="16384" width="8.85546875" style="2"/>
  </cols>
  <sheetData>
    <row r="1" spans="1:14" ht="18" customHeight="1" x14ac:dyDescent="0.25">
      <c r="A1" s="12"/>
      <c r="B1" s="12"/>
      <c r="C1" s="13"/>
      <c r="D1" s="8"/>
      <c r="E1" s="8"/>
      <c r="F1" s="48"/>
      <c r="G1" s="8"/>
      <c r="H1" s="8"/>
      <c r="I1" s="13"/>
      <c r="J1" s="8"/>
      <c r="K1" s="8"/>
      <c r="L1" s="8"/>
    </row>
    <row r="2" spans="1:14" ht="18" customHeight="1" x14ac:dyDescent="0.25">
      <c r="A2" s="12"/>
      <c r="B2" s="12"/>
      <c r="C2" s="13"/>
      <c r="D2" s="8"/>
      <c r="E2" s="8"/>
      <c r="F2" s="48"/>
      <c r="G2" s="8"/>
      <c r="H2" s="8"/>
      <c r="I2" s="13"/>
      <c r="J2" s="8"/>
      <c r="K2" s="8"/>
      <c r="L2" s="8"/>
    </row>
    <row r="3" spans="1:14" ht="18" customHeight="1" x14ac:dyDescent="0.25">
      <c r="A3" s="12"/>
      <c r="B3" s="12"/>
      <c r="C3" s="13"/>
      <c r="D3" s="8"/>
      <c r="E3" s="8"/>
      <c r="F3" s="48"/>
      <c r="G3" s="8"/>
      <c r="H3" s="8"/>
      <c r="I3" s="13"/>
      <c r="J3" s="8"/>
      <c r="K3" s="8"/>
      <c r="L3" s="8"/>
    </row>
    <row r="4" spans="1:14" ht="18" customHeight="1" x14ac:dyDescent="0.25">
      <c r="A4" s="12"/>
      <c r="B4" s="12"/>
      <c r="C4" s="13"/>
      <c r="D4" s="8"/>
      <c r="E4" s="8"/>
      <c r="F4" s="48"/>
      <c r="G4" s="8"/>
      <c r="H4" s="8"/>
      <c r="I4" s="13"/>
      <c r="J4" s="8"/>
      <c r="K4" s="8"/>
      <c r="L4" s="8"/>
    </row>
    <row r="5" spans="1:14" ht="18" customHeight="1" x14ac:dyDescent="0.25">
      <c r="A5" s="12"/>
      <c r="B5" s="12"/>
      <c r="C5" s="13"/>
      <c r="D5" s="8"/>
      <c r="E5" s="8"/>
      <c r="F5" s="48"/>
      <c r="G5" s="8"/>
      <c r="H5" s="8"/>
      <c r="I5" s="13"/>
      <c r="J5" s="8"/>
      <c r="K5" s="8"/>
      <c r="L5" s="8"/>
    </row>
    <row r="6" spans="1:14" ht="18" customHeight="1" x14ac:dyDescent="0.25">
      <c r="A6" s="12"/>
      <c r="B6" s="12"/>
      <c r="C6" s="13"/>
      <c r="D6" s="8"/>
      <c r="E6" s="8"/>
      <c r="F6" s="48"/>
      <c r="G6" s="8"/>
      <c r="H6" s="8"/>
      <c r="I6" s="13"/>
      <c r="J6" s="8"/>
      <c r="K6" s="8"/>
      <c r="L6" s="8"/>
      <c r="M6" s="57"/>
    </row>
    <row r="7" spans="1:14" ht="84" customHeight="1" x14ac:dyDescent="0.25">
      <c r="A7" s="24" t="s">
        <v>0</v>
      </c>
      <c r="B7" s="24" t="s">
        <v>1</v>
      </c>
      <c r="C7" s="24" t="s">
        <v>2</v>
      </c>
      <c r="D7" s="25" t="s">
        <v>13</v>
      </c>
      <c r="E7" s="25" t="s">
        <v>3</v>
      </c>
      <c r="F7" s="49" t="s">
        <v>306</v>
      </c>
      <c r="G7" s="25" t="s">
        <v>4</v>
      </c>
      <c r="H7" s="25" t="s">
        <v>5</v>
      </c>
      <c r="I7" s="25" t="s">
        <v>6</v>
      </c>
      <c r="J7" s="55" t="s">
        <v>148</v>
      </c>
      <c r="K7" s="55" t="s">
        <v>149</v>
      </c>
      <c r="L7" s="55" t="s">
        <v>304</v>
      </c>
      <c r="M7" s="55" t="s">
        <v>305</v>
      </c>
      <c r="N7" s="11"/>
    </row>
    <row r="8" spans="1:14" ht="30" customHeight="1" x14ac:dyDescent="0.25">
      <c r="A8" s="14">
        <v>0</v>
      </c>
      <c r="B8" s="14" t="str">
        <f>DEC2HEX(A8, 2)</f>
        <v>00</v>
      </c>
      <c r="C8" s="14" t="s">
        <v>7</v>
      </c>
      <c r="D8" s="14" t="s">
        <v>8</v>
      </c>
      <c r="E8" s="14" t="s">
        <v>150</v>
      </c>
      <c r="F8" s="23" t="s">
        <v>311</v>
      </c>
      <c r="G8" s="14" t="s">
        <v>9</v>
      </c>
      <c r="H8" s="14" t="s">
        <v>10</v>
      </c>
      <c r="I8" s="26" t="s">
        <v>11</v>
      </c>
      <c r="J8" s="14" t="str" cm="1">
        <f t="array" ref="J8">PackBinary16_HighRegHex(F8)</f>
        <v>55</v>
      </c>
      <c r="K8" s="14" t="str" cm="1">
        <f t="array" ref="K8">PackBinary16_HighRegHex(F8)</f>
        <v>55</v>
      </c>
      <c r="L8" s="23" t="s">
        <v>311</v>
      </c>
      <c r="M8" s="37">
        <v>5555</v>
      </c>
      <c r="N8" s="11"/>
    </row>
    <row r="9" spans="1:14" ht="18" customHeight="1" x14ac:dyDescent="0.25">
      <c r="A9" s="15"/>
      <c r="B9" s="15"/>
      <c r="C9" s="15"/>
      <c r="D9" s="15"/>
      <c r="E9" s="15"/>
      <c r="F9" s="22"/>
      <c r="G9" s="15"/>
      <c r="H9" s="15"/>
      <c r="I9" s="16"/>
      <c r="J9" s="15"/>
      <c r="K9" s="15"/>
      <c r="L9" s="15"/>
      <c r="M9" s="35"/>
      <c r="N9" s="11"/>
    </row>
    <row r="10" spans="1:14" ht="43.15" customHeight="1" x14ac:dyDescent="0.25">
      <c r="A10" s="14">
        <v>1</v>
      </c>
      <c r="B10" s="14" t="str">
        <f>DEC2HEX(A10, 2)</f>
        <v>01</v>
      </c>
      <c r="C10" s="14" t="s">
        <v>12</v>
      </c>
      <c r="D10" s="14" t="s">
        <v>301</v>
      </c>
      <c r="E10" s="14" t="s">
        <v>150</v>
      </c>
      <c r="F10" s="23" t="s">
        <v>311</v>
      </c>
      <c r="G10" s="14" t="s">
        <v>14</v>
      </c>
      <c r="H10" s="14" t="s">
        <v>10</v>
      </c>
      <c r="I10" s="47" t="s">
        <v>15</v>
      </c>
      <c r="J10" s="14" t="str" cm="1">
        <f t="array" ref="J10">PackBinary16_HighRegHex(F10)</f>
        <v>55</v>
      </c>
      <c r="K10" s="14" t="str" cm="1">
        <f t="array" ref="K10">PackBinary16_LowRegHex(F10)</f>
        <v>55</v>
      </c>
      <c r="L10" s="23" t="s">
        <v>311</v>
      </c>
      <c r="M10" s="37">
        <v>5555</v>
      </c>
      <c r="N10" s="11"/>
    </row>
    <row r="11" spans="1:14" ht="18" customHeight="1" x14ac:dyDescent="0.25">
      <c r="A11" s="15"/>
      <c r="B11" s="15"/>
      <c r="C11" s="15"/>
      <c r="D11" s="15"/>
      <c r="E11" s="15"/>
      <c r="F11" s="22"/>
      <c r="G11" s="15"/>
      <c r="H11" s="15"/>
      <c r="I11" s="18"/>
      <c r="J11" s="15"/>
      <c r="K11" s="15"/>
      <c r="L11" s="15"/>
      <c r="M11" s="35"/>
      <c r="N11" s="11"/>
    </row>
    <row r="12" spans="1:14" ht="75" x14ac:dyDescent="0.25">
      <c r="A12" s="64">
        <v>2</v>
      </c>
      <c r="B12" s="61" t="str">
        <f>DEC2HEX(A12, 2)</f>
        <v>02</v>
      </c>
      <c r="C12" s="64" t="s">
        <v>16</v>
      </c>
      <c r="D12" s="27" t="s">
        <v>301</v>
      </c>
      <c r="E12" s="14" t="s">
        <v>151</v>
      </c>
      <c r="F12" s="23" t="s">
        <v>313</v>
      </c>
      <c r="G12" s="14" t="s">
        <v>155</v>
      </c>
      <c r="H12" s="27" t="s">
        <v>17</v>
      </c>
      <c r="I12" s="27" t="s">
        <v>154</v>
      </c>
      <c r="J12" s="64" t="str" cm="1">
        <f t="array" ref="J12">PackBinary16_HighRegHex(F12:F13)</f>
        <v>04</v>
      </c>
      <c r="K12" s="64" t="str" cm="1">
        <f t="array" ref="K12">PackBinary16_LowRegHex(F12:F13)</f>
        <v>CD</v>
      </c>
      <c r="L12" s="23" t="s">
        <v>313</v>
      </c>
      <c r="M12" s="36" t="s">
        <v>314</v>
      </c>
      <c r="N12" s="11"/>
    </row>
    <row r="13" spans="1:14" ht="29.25" customHeight="1" x14ac:dyDescent="0.25">
      <c r="A13" s="64"/>
      <c r="B13" s="63"/>
      <c r="C13" s="64"/>
      <c r="D13" s="27"/>
      <c r="E13" s="27" t="s">
        <v>152</v>
      </c>
      <c r="F13" s="23" t="s">
        <v>160</v>
      </c>
      <c r="G13" s="27">
        <v>0</v>
      </c>
      <c r="H13" s="27" t="s">
        <v>10</v>
      </c>
      <c r="I13" s="14" t="s">
        <v>18</v>
      </c>
      <c r="J13" s="64"/>
      <c r="K13" s="64"/>
      <c r="L13" s="23" t="s">
        <v>160</v>
      </c>
      <c r="M13" s="36" t="s">
        <v>161</v>
      </c>
      <c r="N13" s="11"/>
    </row>
    <row r="14" spans="1:14" ht="18" customHeight="1" x14ac:dyDescent="0.25">
      <c r="A14" s="15"/>
      <c r="B14" s="15"/>
      <c r="C14" s="15"/>
      <c r="D14" s="19"/>
      <c r="E14" s="19"/>
      <c r="F14" s="20"/>
      <c r="G14" s="19"/>
      <c r="H14" s="19"/>
      <c r="I14" s="16"/>
      <c r="J14" s="21"/>
      <c r="K14" s="21"/>
      <c r="L14" s="15"/>
      <c r="M14" s="35"/>
      <c r="N14" s="11"/>
    </row>
    <row r="15" spans="1:14" ht="135" x14ac:dyDescent="0.25">
      <c r="A15" s="64">
        <v>3</v>
      </c>
      <c r="B15" s="61" t="str">
        <f>DEC2HEX(A15, 2)</f>
        <v>03</v>
      </c>
      <c r="C15" s="64" t="s">
        <v>19</v>
      </c>
      <c r="D15" s="61" t="s">
        <v>301</v>
      </c>
      <c r="E15" s="14" t="s">
        <v>156</v>
      </c>
      <c r="F15" s="23" t="s">
        <v>175</v>
      </c>
      <c r="G15" s="28" t="s">
        <v>163</v>
      </c>
      <c r="H15" s="28" t="s">
        <v>20</v>
      </c>
      <c r="I15" s="29" t="s">
        <v>300</v>
      </c>
      <c r="J15" s="64" t="str" cm="1">
        <f t="array" ref="J15">PackBinary16_HighRegHex(F15:F19)</f>
        <v>06</v>
      </c>
      <c r="K15" s="64" t="str" cm="1">
        <f t="array" ref="K15">PackBinary16_LowRegHex(F15:F19)</f>
        <v>AE</v>
      </c>
      <c r="L15" s="30" t="s">
        <v>175</v>
      </c>
      <c r="M15" s="36" t="s">
        <v>312</v>
      </c>
      <c r="N15" s="11"/>
    </row>
    <row r="16" spans="1:14" x14ac:dyDescent="0.35">
      <c r="A16" s="64"/>
      <c r="B16" s="62"/>
      <c r="C16" s="64"/>
      <c r="D16" s="62"/>
      <c r="E16" s="14" t="s">
        <v>157</v>
      </c>
      <c r="F16" s="23" t="s">
        <v>147</v>
      </c>
      <c r="G16" s="28" t="s">
        <v>21</v>
      </c>
      <c r="H16" s="28" t="s">
        <v>20</v>
      </c>
      <c r="I16" s="28" t="s">
        <v>22</v>
      </c>
      <c r="J16" s="64"/>
      <c r="K16" s="64"/>
      <c r="L16" s="23" t="s">
        <v>147</v>
      </c>
      <c r="M16" s="37"/>
      <c r="N16" s="11"/>
    </row>
    <row r="17" spans="1:14" ht="15" x14ac:dyDescent="0.25">
      <c r="A17" s="64"/>
      <c r="B17" s="62"/>
      <c r="C17" s="64"/>
      <c r="D17" s="62"/>
      <c r="E17" s="31" t="s">
        <v>63</v>
      </c>
      <c r="F17" s="23" t="s">
        <v>146</v>
      </c>
      <c r="G17" s="28" t="s">
        <v>164</v>
      </c>
      <c r="H17" s="28" t="s">
        <v>20</v>
      </c>
      <c r="I17" s="28" t="s">
        <v>167</v>
      </c>
      <c r="J17" s="64"/>
      <c r="K17" s="64"/>
      <c r="L17" s="23" t="s">
        <v>146</v>
      </c>
      <c r="M17" s="37"/>
      <c r="N17" s="11"/>
    </row>
    <row r="18" spans="1:14" ht="15" x14ac:dyDescent="0.25">
      <c r="A18" s="64"/>
      <c r="B18" s="62"/>
      <c r="C18" s="64"/>
      <c r="D18" s="62"/>
      <c r="E18" s="31" t="s">
        <v>158</v>
      </c>
      <c r="F18" s="23" t="s">
        <v>153</v>
      </c>
      <c r="G18" s="28" t="s">
        <v>165</v>
      </c>
      <c r="H18" s="28" t="s">
        <v>20</v>
      </c>
      <c r="I18" s="28" t="s">
        <v>168</v>
      </c>
      <c r="J18" s="64"/>
      <c r="K18" s="64"/>
      <c r="L18" s="23" t="s">
        <v>153</v>
      </c>
      <c r="M18" s="37"/>
      <c r="N18" s="11"/>
    </row>
    <row r="19" spans="1:14" ht="18" customHeight="1" x14ac:dyDescent="0.25">
      <c r="A19" s="64"/>
      <c r="B19" s="63"/>
      <c r="C19" s="64"/>
      <c r="D19" s="63"/>
      <c r="E19" s="31" t="s">
        <v>159</v>
      </c>
      <c r="F19" s="23" t="s">
        <v>153</v>
      </c>
      <c r="G19" s="28" t="s">
        <v>166</v>
      </c>
      <c r="H19" s="28" t="s">
        <v>20</v>
      </c>
      <c r="I19" s="28" t="s">
        <v>169</v>
      </c>
      <c r="J19" s="64"/>
      <c r="K19" s="64"/>
      <c r="L19" s="23" t="s">
        <v>153</v>
      </c>
      <c r="M19" s="37"/>
      <c r="N19" s="11"/>
    </row>
    <row r="20" spans="1:14" ht="18" customHeight="1" x14ac:dyDescent="0.25">
      <c r="A20" s="15"/>
      <c r="B20" s="15"/>
      <c r="C20" s="15"/>
      <c r="D20" s="15"/>
      <c r="E20" s="15"/>
      <c r="F20" s="22"/>
      <c r="G20" s="15"/>
      <c r="H20" s="15"/>
      <c r="I20" s="18"/>
      <c r="J20" s="15"/>
      <c r="K20" s="15"/>
      <c r="L20" s="15"/>
      <c r="M20" s="35"/>
      <c r="N20" s="11"/>
    </row>
    <row r="21" spans="1:14" ht="168" x14ac:dyDescent="0.25">
      <c r="A21" s="64">
        <v>4</v>
      </c>
      <c r="B21" s="61" t="str">
        <f>DEC2HEX(A21, 2)</f>
        <v>04</v>
      </c>
      <c r="C21" s="64" t="s">
        <v>27</v>
      </c>
      <c r="D21" s="61" t="s">
        <v>301</v>
      </c>
      <c r="E21" s="14" t="s">
        <v>170</v>
      </c>
      <c r="F21" s="23" t="s">
        <v>176</v>
      </c>
      <c r="G21" s="32" t="s">
        <v>172</v>
      </c>
      <c r="H21" s="14" t="s">
        <v>20</v>
      </c>
      <c r="I21" s="32" t="s">
        <v>174</v>
      </c>
      <c r="J21" s="64" t="str" cm="1">
        <f t="array" ref="J21">PackBinary16_HighRegHex(F21:F23)</f>
        <v>E0</v>
      </c>
      <c r="K21" s="64" t="str" cm="1">
        <f t="array" ref="K21">PackBinary16_LowRegHex(F21:F23)</f>
        <v>1F</v>
      </c>
      <c r="L21" s="23" t="s">
        <v>176</v>
      </c>
      <c r="M21" s="37" t="s">
        <v>315</v>
      </c>
      <c r="N21" s="11"/>
    </row>
    <row r="22" spans="1:14" ht="60" x14ac:dyDescent="0.25">
      <c r="A22" s="64"/>
      <c r="B22" s="62"/>
      <c r="C22" s="64"/>
      <c r="D22" s="62"/>
      <c r="E22" s="14" t="s">
        <v>171</v>
      </c>
      <c r="F22" s="23" t="s">
        <v>153</v>
      </c>
      <c r="G22" s="32" t="s">
        <v>173</v>
      </c>
      <c r="H22" s="14" t="s">
        <v>20</v>
      </c>
      <c r="I22" s="31" t="s">
        <v>75</v>
      </c>
      <c r="J22" s="64"/>
      <c r="K22" s="64"/>
      <c r="L22" s="23" t="s">
        <v>153</v>
      </c>
      <c r="M22" s="37"/>
      <c r="N22" s="11"/>
    </row>
    <row r="23" spans="1:14" ht="18" customHeight="1" x14ac:dyDescent="0.25">
      <c r="A23" s="64"/>
      <c r="B23" s="63"/>
      <c r="C23" s="64"/>
      <c r="D23" s="63"/>
      <c r="E23" s="31" t="s">
        <v>152</v>
      </c>
      <c r="F23" s="23" t="s">
        <v>162</v>
      </c>
      <c r="G23" s="14">
        <v>0</v>
      </c>
      <c r="H23" s="14">
        <v>0</v>
      </c>
      <c r="I23" s="14" t="s">
        <v>18</v>
      </c>
      <c r="J23" s="64"/>
      <c r="K23" s="64"/>
      <c r="L23" s="23" t="s">
        <v>162</v>
      </c>
      <c r="M23" s="37"/>
      <c r="N23" s="11"/>
    </row>
    <row r="24" spans="1:14" ht="18" customHeight="1" x14ac:dyDescent="0.25">
      <c r="A24" s="15"/>
      <c r="B24" s="15"/>
      <c r="C24" s="15"/>
      <c r="D24" s="15"/>
      <c r="E24" s="15"/>
      <c r="F24" s="22"/>
      <c r="G24" s="15"/>
      <c r="H24" s="15"/>
      <c r="I24" s="16"/>
      <c r="J24" s="15"/>
      <c r="K24" s="15"/>
      <c r="L24" s="15"/>
      <c r="M24" s="35"/>
      <c r="N24" s="11"/>
    </row>
    <row r="25" spans="1:14" ht="15" x14ac:dyDescent="0.25">
      <c r="A25" s="65">
        <v>5</v>
      </c>
      <c r="B25" s="67" t="str">
        <f>DEC2HEX(A25, 2)</f>
        <v>05</v>
      </c>
      <c r="C25" s="66" t="s">
        <v>28</v>
      </c>
      <c r="D25" s="61" t="s">
        <v>301</v>
      </c>
      <c r="E25" s="14" t="s">
        <v>170</v>
      </c>
      <c r="F25" s="14" t="s">
        <v>302</v>
      </c>
      <c r="G25" s="14" t="s">
        <v>177</v>
      </c>
      <c r="H25" s="14" t="s">
        <v>20</v>
      </c>
      <c r="I25" s="14" t="s">
        <v>178</v>
      </c>
      <c r="J25" s="64" t="str" cm="1">
        <f t="array" ref="J25">PackBinary16_HighRegHex(F25:F27)</f>
        <v>07</v>
      </c>
      <c r="K25" s="64" t="str" cm="1">
        <f t="array" ref="K25">PackBinary16_LowRegHex(F25:F27)</f>
        <v>F8</v>
      </c>
      <c r="L25" s="23" t="s">
        <v>302</v>
      </c>
      <c r="M25" s="37" t="s">
        <v>316</v>
      </c>
      <c r="N25" s="11"/>
    </row>
    <row r="26" spans="1:14" ht="18" customHeight="1" x14ac:dyDescent="0.25">
      <c r="A26" s="65"/>
      <c r="B26" s="62"/>
      <c r="C26" s="66"/>
      <c r="D26" s="62"/>
      <c r="E26" s="14" t="s">
        <v>63</v>
      </c>
      <c r="F26" s="14" t="s">
        <v>146</v>
      </c>
      <c r="G26" s="14" t="s">
        <v>44</v>
      </c>
      <c r="H26" s="14" t="s">
        <v>20</v>
      </c>
      <c r="I26" s="14" t="s">
        <v>179</v>
      </c>
      <c r="J26" s="64"/>
      <c r="K26" s="64"/>
      <c r="L26" s="23" t="s">
        <v>146</v>
      </c>
      <c r="M26" s="37"/>
      <c r="N26" s="11"/>
    </row>
    <row r="27" spans="1:14" ht="18" customHeight="1" x14ac:dyDescent="0.25">
      <c r="A27" s="65"/>
      <c r="B27" s="63"/>
      <c r="C27" s="66"/>
      <c r="D27" s="63"/>
      <c r="E27" s="14" t="s">
        <v>180</v>
      </c>
      <c r="F27" s="14" t="s">
        <v>161</v>
      </c>
      <c r="G27" s="14">
        <v>0</v>
      </c>
      <c r="H27" s="14" t="s">
        <v>10</v>
      </c>
      <c r="I27" s="14" t="s">
        <v>18</v>
      </c>
      <c r="J27" s="64"/>
      <c r="K27" s="64"/>
      <c r="L27" s="23" t="s">
        <v>161</v>
      </c>
      <c r="M27" s="37"/>
      <c r="N27" s="11"/>
    </row>
    <row r="28" spans="1:14" ht="18" customHeight="1" x14ac:dyDescent="0.25">
      <c r="A28" s="15"/>
      <c r="B28" s="15"/>
      <c r="C28" s="15"/>
      <c r="D28" s="15"/>
      <c r="E28" s="15"/>
      <c r="F28" s="22"/>
      <c r="G28" s="15"/>
      <c r="H28" s="15"/>
      <c r="I28" s="18"/>
      <c r="J28" s="15"/>
      <c r="K28" s="15"/>
      <c r="L28" s="15"/>
      <c r="M28" s="58"/>
    </row>
    <row r="29" spans="1:14" ht="75" x14ac:dyDescent="0.25">
      <c r="A29" s="64">
        <v>6</v>
      </c>
      <c r="B29" s="67" t="str">
        <f>DEC2HEX(A29, 2)</f>
        <v>06</v>
      </c>
      <c r="C29" s="64" t="s">
        <v>30</v>
      </c>
      <c r="D29" s="61" t="s">
        <v>8</v>
      </c>
      <c r="E29" s="14" t="s">
        <v>156</v>
      </c>
      <c r="F29" s="23" t="s">
        <v>145</v>
      </c>
      <c r="G29" s="14" t="s">
        <v>182</v>
      </c>
      <c r="H29" s="14" t="s">
        <v>20</v>
      </c>
      <c r="I29" s="32" t="s">
        <v>183</v>
      </c>
      <c r="J29" s="64" t="str" cm="1">
        <f t="array" ref="J29">PackBinary16_HighRegHex(F29:F31)</f>
        <v>AA</v>
      </c>
      <c r="K29" s="64" t="str" cm="1">
        <f t="array" ref="K29">PackBinary16_LowRegHex(F29:F31)</f>
        <v>1F</v>
      </c>
      <c r="L29" s="23" t="s">
        <v>317</v>
      </c>
      <c r="M29" s="14" t="s">
        <v>315</v>
      </c>
      <c r="N29" s="11"/>
    </row>
    <row r="30" spans="1:14" ht="18" customHeight="1" x14ac:dyDescent="0.25">
      <c r="A30" s="64"/>
      <c r="B30" s="62"/>
      <c r="C30" s="64"/>
      <c r="D30" s="62"/>
      <c r="E30" s="14" t="s">
        <v>122</v>
      </c>
      <c r="F30" s="23" t="s">
        <v>318</v>
      </c>
      <c r="G30" s="14" t="s">
        <v>44</v>
      </c>
      <c r="H30" s="14" t="s">
        <v>20</v>
      </c>
      <c r="I30" s="32" t="s">
        <v>184</v>
      </c>
      <c r="J30" s="64"/>
      <c r="K30" s="64"/>
      <c r="L30" s="23" t="s">
        <v>146</v>
      </c>
      <c r="M30" s="14"/>
      <c r="N30" s="11"/>
    </row>
    <row r="31" spans="1:14" ht="15" x14ac:dyDescent="0.25">
      <c r="A31" s="64"/>
      <c r="B31" s="63"/>
      <c r="C31" s="64"/>
      <c r="D31" s="63"/>
      <c r="E31" s="38" t="s">
        <v>181</v>
      </c>
      <c r="F31" s="23" t="s">
        <v>319</v>
      </c>
      <c r="G31" s="14">
        <v>0</v>
      </c>
      <c r="H31" s="14" t="s">
        <v>10</v>
      </c>
      <c r="I31" s="14" t="s">
        <v>18</v>
      </c>
      <c r="J31" s="14"/>
      <c r="K31" s="14"/>
      <c r="L31" s="23" t="s">
        <v>319</v>
      </c>
      <c r="M31" s="59"/>
      <c r="N31" s="11"/>
    </row>
    <row r="32" spans="1:14" ht="18" customHeight="1" x14ac:dyDescent="0.25">
      <c r="A32" s="15"/>
      <c r="B32" s="15"/>
      <c r="C32" s="15"/>
      <c r="D32" s="15"/>
      <c r="E32" s="15"/>
      <c r="F32" s="22"/>
      <c r="G32" s="15"/>
      <c r="H32" s="15"/>
      <c r="I32" s="15"/>
      <c r="J32" s="15"/>
      <c r="K32" s="15"/>
      <c r="L32" s="15"/>
      <c r="M32" s="15"/>
      <c r="N32" s="11"/>
    </row>
    <row r="33" spans="1:14" ht="75" x14ac:dyDescent="0.25">
      <c r="A33" s="65">
        <v>7</v>
      </c>
      <c r="B33" s="67" t="str">
        <f>DEC2HEX(A33, 2)</f>
        <v>07</v>
      </c>
      <c r="C33" s="65" t="s">
        <v>31</v>
      </c>
      <c r="D33" s="67" t="s">
        <v>301</v>
      </c>
      <c r="E33" s="34" t="s">
        <v>170</v>
      </c>
      <c r="F33" s="23" t="s">
        <v>320</v>
      </c>
      <c r="G33" s="34" t="s">
        <v>185</v>
      </c>
      <c r="H33" s="33" t="s">
        <v>20</v>
      </c>
      <c r="I33" s="39" t="s">
        <v>186</v>
      </c>
      <c r="J33" s="61" t="str" cm="1">
        <f t="array" ref="J33">PackBinary16_HighRegHex(F33:F36)</f>
        <v>FF</v>
      </c>
      <c r="K33" s="64" t="str" cm="1">
        <f t="array" ref="K33">PackBinary16_LowRegHex(F33:F36)</f>
        <v>FF</v>
      </c>
      <c r="L33" s="23" t="s">
        <v>321</v>
      </c>
      <c r="M33" s="14" t="s">
        <v>322</v>
      </c>
      <c r="N33" s="11"/>
    </row>
    <row r="34" spans="1:14" ht="15" x14ac:dyDescent="0.25">
      <c r="A34" s="65"/>
      <c r="B34" s="62"/>
      <c r="C34" s="65"/>
      <c r="D34" s="62"/>
      <c r="E34" s="34" t="s">
        <v>171</v>
      </c>
      <c r="F34" s="23" t="s">
        <v>147</v>
      </c>
      <c r="G34" s="33" t="s">
        <v>21</v>
      </c>
      <c r="H34" s="33" t="s">
        <v>20</v>
      </c>
      <c r="I34" s="33" t="s">
        <v>32</v>
      </c>
      <c r="J34" s="62"/>
      <c r="K34" s="64"/>
      <c r="L34" s="23" t="s">
        <v>147</v>
      </c>
      <c r="M34" s="14"/>
      <c r="N34" s="11"/>
    </row>
    <row r="35" spans="1:14" ht="17.25" customHeight="1" x14ac:dyDescent="0.25">
      <c r="A35" s="65"/>
      <c r="B35" s="62"/>
      <c r="C35" s="65"/>
      <c r="D35" s="62"/>
      <c r="E35" s="34" t="s">
        <v>23</v>
      </c>
      <c r="F35" s="23" t="s">
        <v>318</v>
      </c>
      <c r="G35" s="33" t="s">
        <v>44</v>
      </c>
      <c r="H35" s="33" t="s">
        <v>20</v>
      </c>
      <c r="I35" s="33" t="s">
        <v>187</v>
      </c>
      <c r="J35" s="62"/>
      <c r="K35" s="64"/>
      <c r="L35" s="23" t="s">
        <v>318</v>
      </c>
      <c r="M35" s="14"/>
      <c r="N35" s="11"/>
    </row>
    <row r="36" spans="1:14" ht="17.25" customHeight="1" x14ac:dyDescent="0.25">
      <c r="A36" s="65"/>
      <c r="B36" s="63"/>
      <c r="C36" s="65"/>
      <c r="D36" s="63"/>
      <c r="E36" s="38" t="s">
        <v>159</v>
      </c>
      <c r="F36" s="54" t="s">
        <v>147</v>
      </c>
      <c r="G36" s="33">
        <v>0</v>
      </c>
      <c r="H36" s="33" t="s">
        <v>10</v>
      </c>
      <c r="I36" s="33" t="s">
        <v>18</v>
      </c>
      <c r="J36" s="63"/>
      <c r="K36" s="64"/>
      <c r="L36" s="23" t="s">
        <v>147</v>
      </c>
      <c r="M36" s="59"/>
      <c r="N36" s="11"/>
    </row>
    <row r="37" spans="1:14" ht="17.25" customHeight="1" x14ac:dyDescent="0.25">
      <c r="A37" s="15"/>
      <c r="B37" s="15"/>
      <c r="C37" s="15"/>
      <c r="D37" s="15"/>
      <c r="E37" s="15"/>
      <c r="F37" s="22"/>
      <c r="G37" s="15"/>
      <c r="H37" s="15"/>
      <c r="I37" s="18"/>
      <c r="J37" s="15"/>
      <c r="K37" s="15"/>
      <c r="L37" s="15"/>
      <c r="M37" s="15"/>
      <c r="N37" s="11"/>
    </row>
    <row r="38" spans="1:14" ht="75" x14ac:dyDescent="0.25">
      <c r="A38" s="64">
        <v>8</v>
      </c>
      <c r="B38" s="61" t="str">
        <f>DEC2HEX(A38, 2)</f>
        <v>08</v>
      </c>
      <c r="C38" s="68" t="s">
        <v>33</v>
      </c>
      <c r="D38" s="71" t="s">
        <v>301</v>
      </c>
      <c r="E38" s="14" t="s">
        <v>156</v>
      </c>
      <c r="F38" s="23" t="s">
        <v>323</v>
      </c>
      <c r="G38" s="40" t="s">
        <v>222</v>
      </c>
      <c r="H38" s="40" t="s">
        <v>20</v>
      </c>
      <c r="I38" s="41" t="s">
        <v>223</v>
      </c>
      <c r="J38" s="14" t="str" cm="1">
        <f t="array" ref="J38">PackBinary16_HighRegHex((F38:F40))</f>
        <v>FF</v>
      </c>
      <c r="K38" s="14" t="str" cm="1">
        <f t="array" ref="K38">PackBinary16_LowRegHex(F38:F40)</f>
        <v>FF</v>
      </c>
      <c r="L38" s="23" t="s">
        <v>323</v>
      </c>
      <c r="M38" s="14" t="s">
        <v>325</v>
      </c>
      <c r="N38" s="11"/>
    </row>
    <row r="39" spans="1:14" ht="15" x14ac:dyDescent="0.25">
      <c r="A39" s="64"/>
      <c r="B39" s="62"/>
      <c r="C39" s="68"/>
      <c r="D39" s="62"/>
      <c r="E39" s="14" t="s">
        <v>122</v>
      </c>
      <c r="F39" s="23" t="s">
        <v>318</v>
      </c>
      <c r="G39" s="14" t="s">
        <v>44</v>
      </c>
      <c r="H39" s="14" t="s">
        <v>20</v>
      </c>
      <c r="I39" s="41" t="s">
        <v>224</v>
      </c>
      <c r="J39" s="14"/>
      <c r="K39" s="14"/>
      <c r="L39" s="23" t="s">
        <v>318</v>
      </c>
      <c r="M39" s="14"/>
      <c r="N39" s="11"/>
    </row>
    <row r="40" spans="1:14" ht="18" customHeight="1" x14ac:dyDescent="0.25">
      <c r="A40" s="64"/>
      <c r="B40" s="63"/>
      <c r="C40" s="68"/>
      <c r="D40" s="63"/>
      <c r="E40" s="38" t="s">
        <v>181</v>
      </c>
      <c r="F40" s="23" t="s">
        <v>324</v>
      </c>
      <c r="G40" s="40">
        <v>0</v>
      </c>
      <c r="H40" s="40" t="s">
        <v>10</v>
      </c>
      <c r="I40" s="40" t="s">
        <v>18</v>
      </c>
      <c r="J40" s="14"/>
      <c r="K40" s="14"/>
      <c r="L40" s="23" t="s">
        <v>324</v>
      </c>
      <c r="M40" s="59"/>
      <c r="N40" s="11"/>
    </row>
    <row r="41" spans="1:14" ht="18" customHeight="1" x14ac:dyDescent="0.25">
      <c r="A41" s="15"/>
      <c r="B41" s="15"/>
      <c r="C41" s="15"/>
      <c r="D41" s="15"/>
      <c r="E41" s="15"/>
      <c r="F41" s="50"/>
      <c r="G41" s="15"/>
      <c r="H41" s="15"/>
      <c r="I41" s="15"/>
      <c r="J41" s="15"/>
      <c r="K41" s="15"/>
      <c r="L41" s="15"/>
      <c r="M41" s="60"/>
      <c r="N41" s="11"/>
    </row>
    <row r="42" spans="1:14" ht="18" customHeight="1" x14ac:dyDescent="0.25">
      <c r="A42" s="65">
        <v>9</v>
      </c>
      <c r="B42" s="67" t="str">
        <f>DEC2HEX(A42, 2)</f>
        <v>09</v>
      </c>
      <c r="C42" s="65" t="s">
        <v>188</v>
      </c>
      <c r="D42" s="67" t="s">
        <v>8</v>
      </c>
      <c r="E42" s="33" t="s">
        <v>197</v>
      </c>
      <c r="F42" s="23" t="s">
        <v>326</v>
      </c>
      <c r="G42" s="65" t="s">
        <v>34</v>
      </c>
      <c r="H42" s="33" t="s">
        <v>20</v>
      </c>
      <c r="I42" s="33" t="s">
        <v>35</v>
      </c>
      <c r="J42" s="64" t="str" cm="1">
        <f t="array" ref="J42">PackBinary16_HighRegHex(F42:F48)</f>
        <v>54</v>
      </c>
      <c r="K42" s="64" t="str" cm="1">
        <f t="array" ref="K42">PackBinary16_LowRegHex(F42:F48)</f>
        <v>89</v>
      </c>
      <c r="L42" s="23" t="s">
        <v>326</v>
      </c>
      <c r="M42" s="64">
        <v>5489</v>
      </c>
      <c r="N42" s="11"/>
    </row>
    <row r="43" spans="1:14" ht="18" customHeight="1" x14ac:dyDescent="0.25">
      <c r="A43" s="65"/>
      <c r="B43" s="62"/>
      <c r="C43" s="65"/>
      <c r="D43" s="62"/>
      <c r="E43" s="33" t="s">
        <v>198</v>
      </c>
      <c r="F43" s="23" t="s">
        <v>327</v>
      </c>
      <c r="G43" s="65"/>
      <c r="H43" s="33" t="s">
        <v>20</v>
      </c>
      <c r="I43" s="33" t="s">
        <v>36</v>
      </c>
      <c r="J43" s="64"/>
      <c r="K43" s="64"/>
      <c r="L43" s="23" t="s">
        <v>327</v>
      </c>
      <c r="M43" s="64"/>
      <c r="N43" s="11"/>
    </row>
    <row r="44" spans="1:14" ht="18" customHeight="1" x14ac:dyDescent="0.25">
      <c r="A44" s="65"/>
      <c r="B44" s="62"/>
      <c r="C44" s="65"/>
      <c r="D44" s="62"/>
      <c r="E44" s="33" t="s">
        <v>199</v>
      </c>
      <c r="F44" s="23" t="s">
        <v>153</v>
      </c>
      <c r="G44" s="65"/>
      <c r="H44" s="33" t="s">
        <v>20</v>
      </c>
      <c r="I44" s="33" t="s">
        <v>225</v>
      </c>
      <c r="J44" s="64"/>
      <c r="K44" s="64"/>
      <c r="L44" s="23" t="s">
        <v>153</v>
      </c>
      <c r="M44" s="64"/>
      <c r="N44" s="11"/>
    </row>
    <row r="45" spans="1:14" ht="18" customHeight="1" x14ac:dyDescent="0.25">
      <c r="A45" s="65"/>
      <c r="B45" s="62"/>
      <c r="C45" s="65"/>
      <c r="D45" s="62"/>
      <c r="E45" s="33" t="s">
        <v>200</v>
      </c>
      <c r="F45" s="23" t="s">
        <v>327</v>
      </c>
      <c r="G45" s="65"/>
      <c r="H45" s="33" t="s">
        <v>20</v>
      </c>
      <c r="I45" s="33" t="s">
        <v>38</v>
      </c>
      <c r="J45" s="64"/>
      <c r="K45" s="64"/>
      <c r="L45" s="23" t="s">
        <v>327</v>
      </c>
      <c r="M45" s="64"/>
      <c r="N45" s="11"/>
    </row>
    <row r="46" spans="1:14" ht="18" customHeight="1" x14ac:dyDescent="0.25">
      <c r="A46" s="65"/>
      <c r="B46" s="62"/>
      <c r="C46" s="65"/>
      <c r="D46" s="62"/>
      <c r="E46" s="33" t="s">
        <v>201</v>
      </c>
      <c r="F46" s="23" t="s">
        <v>153</v>
      </c>
      <c r="G46" s="65"/>
      <c r="H46" s="33" t="s">
        <v>20</v>
      </c>
      <c r="I46" s="33" t="s">
        <v>39</v>
      </c>
      <c r="J46" s="64"/>
      <c r="K46" s="64"/>
      <c r="L46" s="23" t="s">
        <v>153</v>
      </c>
      <c r="M46" s="64"/>
      <c r="N46" s="11"/>
    </row>
    <row r="47" spans="1:14" ht="18" customHeight="1" x14ac:dyDescent="0.25">
      <c r="A47" s="65"/>
      <c r="B47" s="62"/>
      <c r="C47" s="65"/>
      <c r="D47" s="62"/>
      <c r="E47" s="33" t="s">
        <v>202</v>
      </c>
      <c r="F47" s="23" t="s">
        <v>326</v>
      </c>
      <c r="G47" s="65"/>
      <c r="H47" s="33" t="s">
        <v>20</v>
      </c>
      <c r="I47" s="33" t="s">
        <v>40</v>
      </c>
      <c r="J47" s="64"/>
      <c r="K47" s="64"/>
      <c r="L47" s="23" t="s">
        <v>326</v>
      </c>
      <c r="M47" s="64"/>
      <c r="N47" s="11"/>
    </row>
    <row r="48" spans="1:14" ht="18" customHeight="1" x14ac:dyDescent="0.25">
      <c r="A48" s="65"/>
      <c r="B48" s="63"/>
      <c r="C48" s="65"/>
      <c r="D48" s="63"/>
      <c r="E48" s="38" t="s">
        <v>180</v>
      </c>
      <c r="F48" s="23" t="s">
        <v>328</v>
      </c>
      <c r="G48" s="33">
        <v>0</v>
      </c>
      <c r="H48" s="33" t="s">
        <v>10</v>
      </c>
      <c r="I48" s="33" t="s">
        <v>18</v>
      </c>
      <c r="J48" s="64"/>
      <c r="K48" s="64"/>
      <c r="L48" s="23" t="s">
        <v>328</v>
      </c>
      <c r="M48" s="64"/>
      <c r="N48" s="11"/>
    </row>
    <row r="49" spans="1:14" ht="18" customHeight="1" x14ac:dyDescent="0.25">
      <c r="A49" s="15"/>
      <c r="B49" s="15"/>
      <c r="C49" s="15"/>
      <c r="D49" s="15"/>
      <c r="E49" s="15"/>
      <c r="F49" s="22"/>
      <c r="G49" s="15"/>
      <c r="H49" s="15"/>
      <c r="I49" s="15"/>
      <c r="J49" s="15"/>
      <c r="K49" s="15"/>
      <c r="L49" s="15"/>
      <c r="M49" s="15"/>
      <c r="N49" s="11"/>
    </row>
    <row r="50" spans="1:14" ht="60" x14ac:dyDescent="0.25">
      <c r="A50" s="64">
        <v>10</v>
      </c>
      <c r="B50" s="61" t="str">
        <f>DEC2HEX(A50, 2)</f>
        <v>0A</v>
      </c>
      <c r="C50" s="64" t="s">
        <v>41</v>
      </c>
      <c r="D50" s="61" t="s">
        <v>301</v>
      </c>
      <c r="E50" s="14" t="s">
        <v>197</v>
      </c>
      <c r="F50" s="23" t="s">
        <v>147</v>
      </c>
      <c r="G50" s="32" t="s">
        <v>226</v>
      </c>
      <c r="H50" s="14" t="s">
        <v>20</v>
      </c>
      <c r="I50" s="14" t="s">
        <v>42</v>
      </c>
      <c r="J50" s="64" t="str" cm="1">
        <f t="array" ref="J50">PackBinary16_HighRegHex(F50:F57)</f>
        <v>FE</v>
      </c>
      <c r="K50" s="64" t="str" cm="1">
        <f t="array" ref="K50">PackBinary16_LowRegHex(F50:F57)</f>
        <v>AB</v>
      </c>
      <c r="L50" s="23" t="s">
        <v>147</v>
      </c>
      <c r="M50" s="64" t="s">
        <v>333</v>
      </c>
      <c r="N50" s="11"/>
    </row>
    <row r="51" spans="1:14" ht="18" customHeight="1" x14ac:dyDescent="0.25">
      <c r="A51" s="64"/>
      <c r="B51" s="62"/>
      <c r="C51" s="64"/>
      <c r="D51" s="62"/>
      <c r="E51" s="14" t="s">
        <v>198</v>
      </c>
      <c r="F51" s="23" t="s">
        <v>327</v>
      </c>
      <c r="G51" s="14" t="s">
        <v>45</v>
      </c>
      <c r="H51" s="14" t="s">
        <v>20</v>
      </c>
      <c r="I51" s="14" t="s">
        <v>46</v>
      </c>
      <c r="J51" s="64"/>
      <c r="K51" s="64"/>
      <c r="L51" s="23" t="s">
        <v>327</v>
      </c>
      <c r="M51" s="64"/>
      <c r="N51" s="11"/>
    </row>
    <row r="52" spans="1:14" ht="18" customHeight="1" x14ac:dyDescent="0.25">
      <c r="A52" s="64"/>
      <c r="B52" s="62"/>
      <c r="C52" s="64"/>
      <c r="D52" s="62"/>
      <c r="E52" s="14" t="s">
        <v>199</v>
      </c>
      <c r="F52" s="23" t="s">
        <v>327</v>
      </c>
      <c r="G52" s="14" t="s">
        <v>47</v>
      </c>
      <c r="H52" s="14" t="s">
        <v>20</v>
      </c>
      <c r="I52" s="14" t="s">
        <v>48</v>
      </c>
      <c r="J52" s="64"/>
      <c r="K52" s="64"/>
      <c r="L52" s="23" t="s">
        <v>327</v>
      </c>
      <c r="M52" s="64"/>
      <c r="N52" s="11"/>
    </row>
    <row r="53" spans="1:14" ht="20.45" customHeight="1" x14ac:dyDescent="0.25">
      <c r="A53" s="64"/>
      <c r="B53" s="62"/>
      <c r="C53" s="64"/>
      <c r="D53" s="62"/>
      <c r="E53" s="14" t="s">
        <v>116</v>
      </c>
      <c r="F53" s="23" t="s">
        <v>146</v>
      </c>
      <c r="G53" s="14" t="s">
        <v>51</v>
      </c>
      <c r="H53" s="14" t="s">
        <v>10</v>
      </c>
      <c r="I53" s="14" t="s">
        <v>52</v>
      </c>
      <c r="J53" s="64"/>
      <c r="K53" s="64"/>
      <c r="L53" s="23" t="s">
        <v>146</v>
      </c>
      <c r="M53" s="64"/>
      <c r="N53" s="11"/>
    </row>
    <row r="54" spans="1:14" ht="19.149999999999999" customHeight="1" x14ac:dyDescent="0.25">
      <c r="A54" s="64"/>
      <c r="B54" s="62"/>
      <c r="C54" s="64"/>
      <c r="D54" s="62"/>
      <c r="E54" s="14" t="s">
        <v>203</v>
      </c>
      <c r="F54" s="23" t="s">
        <v>326</v>
      </c>
      <c r="G54" s="14" t="s">
        <v>53</v>
      </c>
      <c r="H54" s="14" t="s">
        <v>20</v>
      </c>
      <c r="I54" s="14" t="s">
        <v>54</v>
      </c>
      <c r="J54" s="64"/>
      <c r="K54" s="64"/>
      <c r="L54" s="23" t="s">
        <v>326</v>
      </c>
      <c r="M54" s="64"/>
      <c r="N54" s="11"/>
    </row>
    <row r="55" spans="1:14" ht="18" customHeight="1" x14ac:dyDescent="0.25">
      <c r="A55" s="64"/>
      <c r="B55" s="62"/>
      <c r="C55" s="64"/>
      <c r="D55" s="62"/>
      <c r="E55" s="14" t="s">
        <v>157</v>
      </c>
      <c r="F55" s="23" t="s">
        <v>147</v>
      </c>
      <c r="G55" s="14" t="s">
        <v>55</v>
      </c>
      <c r="H55" s="14" t="s">
        <v>20</v>
      </c>
      <c r="I55" s="14" t="s">
        <v>56</v>
      </c>
      <c r="J55" s="64"/>
      <c r="K55" s="64"/>
      <c r="L55" s="23" t="s">
        <v>147</v>
      </c>
      <c r="M55" s="64"/>
      <c r="N55" s="11"/>
    </row>
    <row r="56" spans="1:14" ht="18" customHeight="1" x14ac:dyDescent="0.25">
      <c r="A56" s="64"/>
      <c r="B56" s="62"/>
      <c r="C56" s="64"/>
      <c r="D56" s="62"/>
      <c r="E56" s="14" t="s">
        <v>171</v>
      </c>
      <c r="F56" s="23" t="s">
        <v>147</v>
      </c>
      <c r="G56" s="14" t="s">
        <v>57</v>
      </c>
      <c r="H56" s="14" t="s">
        <v>20</v>
      </c>
      <c r="I56" s="14" t="s">
        <v>58</v>
      </c>
      <c r="J56" s="64"/>
      <c r="K56" s="64"/>
      <c r="L56" s="23" t="s">
        <v>147</v>
      </c>
      <c r="M56" s="64"/>
      <c r="N56" s="11"/>
    </row>
    <row r="57" spans="1:14" ht="18" customHeight="1" x14ac:dyDescent="0.25">
      <c r="A57" s="64"/>
      <c r="B57" s="63"/>
      <c r="C57" s="64"/>
      <c r="D57" s="63"/>
      <c r="E57" s="14" t="s">
        <v>152</v>
      </c>
      <c r="F57" s="23" t="s">
        <v>162</v>
      </c>
      <c r="G57" s="14">
        <v>0</v>
      </c>
      <c r="H57" s="14" t="s">
        <v>10</v>
      </c>
      <c r="I57" s="14" t="s">
        <v>18</v>
      </c>
      <c r="J57" s="64"/>
      <c r="K57" s="64"/>
      <c r="L57" s="23" t="s">
        <v>162</v>
      </c>
      <c r="M57" s="64"/>
      <c r="N57" s="11"/>
    </row>
    <row r="58" spans="1:14" ht="18" customHeight="1" x14ac:dyDescent="0.25">
      <c r="A58" s="15"/>
      <c r="B58" s="15"/>
      <c r="C58" s="15"/>
      <c r="D58" s="15"/>
      <c r="E58" s="15"/>
      <c r="F58" s="22"/>
      <c r="G58" s="15"/>
      <c r="H58" s="15"/>
      <c r="I58" s="15"/>
      <c r="J58" s="15"/>
      <c r="K58" s="15"/>
      <c r="L58" s="15"/>
      <c r="M58" s="15"/>
      <c r="N58" s="11"/>
    </row>
    <row r="59" spans="1:14" ht="18" customHeight="1" x14ac:dyDescent="0.25">
      <c r="A59" s="65">
        <v>11</v>
      </c>
      <c r="B59" s="67" t="str">
        <f>DEC2HEX(A59, 2)</f>
        <v>0B</v>
      </c>
      <c r="C59" s="65" t="s">
        <v>329</v>
      </c>
      <c r="D59" s="67" t="s">
        <v>301</v>
      </c>
      <c r="E59" s="14" t="s">
        <v>64</v>
      </c>
      <c r="F59" s="23" t="s">
        <v>318</v>
      </c>
      <c r="G59" s="33" t="s">
        <v>44</v>
      </c>
      <c r="H59" s="33" t="s">
        <v>20</v>
      </c>
      <c r="I59" s="33" t="s">
        <v>65</v>
      </c>
      <c r="J59" s="64" t="str" cm="1">
        <f t="array" ref="J59">PackBinary16_HighRegHex(F59:F64)</f>
        <v>07</v>
      </c>
      <c r="K59" s="64" t="str" cm="1">
        <f t="array" ref="K59">PackBinary16_LowRegHex(F59:F64)</f>
        <v>87</v>
      </c>
      <c r="L59" s="23" t="s">
        <v>318</v>
      </c>
      <c r="M59" s="14"/>
      <c r="N59" s="11"/>
    </row>
    <row r="60" spans="1:14" ht="15" x14ac:dyDescent="0.25">
      <c r="A60" s="65"/>
      <c r="B60" s="62"/>
      <c r="C60" s="65"/>
      <c r="D60" s="62"/>
      <c r="E60" s="14" t="s">
        <v>66</v>
      </c>
      <c r="F60" s="23" t="s">
        <v>318</v>
      </c>
      <c r="G60" s="34" t="s">
        <v>44</v>
      </c>
      <c r="H60" s="34" t="s">
        <v>20</v>
      </c>
      <c r="I60" s="34" t="s">
        <v>67</v>
      </c>
      <c r="J60" s="64"/>
      <c r="K60" s="64"/>
      <c r="L60" s="23" t="s">
        <v>318</v>
      </c>
      <c r="M60" s="14"/>
      <c r="N60" s="11"/>
    </row>
    <row r="61" spans="1:14" ht="165" x14ac:dyDescent="0.25">
      <c r="A61" s="65"/>
      <c r="B61" s="62"/>
      <c r="C61" s="65"/>
      <c r="D61" s="62"/>
      <c r="E61" s="14" t="s">
        <v>204</v>
      </c>
      <c r="F61" s="23" t="s">
        <v>331</v>
      </c>
      <c r="G61" s="42" t="s">
        <v>227</v>
      </c>
      <c r="H61" s="34" t="s">
        <v>20</v>
      </c>
      <c r="I61" s="34" t="s">
        <v>228</v>
      </c>
      <c r="J61" s="64"/>
      <c r="K61" s="64"/>
      <c r="L61" s="23" t="s">
        <v>331</v>
      </c>
      <c r="M61" s="14">
        <v>7</v>
      </c>
      <c r="N61" s="11"/>
    </row>
    <row r="62" spans="1:14" ht="15" x14ac:dyDescent="0.25">
      <c r="A62" s="65"/>
      <c r="B62" s="62"/>
      <c r="C62" s="65"/>
      <c r="D62" s="62"/>
      <c r="E62" s="14" t="s">
        <v>203</v>
      </c>
      <c r="F62" s="23" t="s">
        <v>147</v>
      </c>
      <c r="G62" s="34" t="s">
        <v>229</v>
      </c>
      <c r="H62" s="34" t="s">
        <v>20</v>
      </c>
      <c r="I62" s="34" t="s">
        <v>69</v>
      </c>
      <c r="J62" s="64"/>
      <c r="K62" s="64"/>
      <c r="L62" s="23" t="s">
        <v>147</v>
      </c>
      <c r="M62" s="14"/>
      <c r="N62" s="11"/>
    </row>
    <row r="63" spans="1:14" ht="15" x14ac:dyDescent="0.25">
      <c r="A63" s="65"/>
      <c r="B63" s="62"/>
      <c r="C63" s="65"/>
      <c r="D63" s="62"/>
      <c r="E63" s="14" t="s">
        <v>157</v>
      </c>
      <c r="F63" s="23" t="s">
        <v>147</v>
      </c>
      <c r="G63" s="33" t="s">
        <v>230</v>
      </c>
      <c r="H63" s="34" t="s">
        <v>20</v>
      </c>
      <c r="I63" s="33" t="s">
        <v>231</v>
      </c>
      <c r="J63" s="64"/>
      <c r="K63" s="64"/>
      <c r="L63" s="23" t="s">
        <v>147</v>
      </c>
      <c r="M63" s="14"/>
      <c r="N63" s="11"/>
    </row>
    <row r="64" spans="1:14" ht="15" x14ac:dyDescent="0.25">
      <c r="A64" s="65"/>
      <c r="B64" s="63"/>
      <c r="C64" s="65"/>
      <c r="D64" s="63"/>
      <c r="E64" s="14" t="s">
        <v>205</v>
      </c>
      <c r="F64" s="23" t="s">
        <v>332</v>
      </c>
      <c r="G64" s="34">
        <v>0</v>
      </c>
      <c r="H64" s="34" t="s">
        <v>10</v>
      </c>
      <c r="I64" s="34" t="s">
        <v>18</v>
      </c>
      <c r="J64" s="64"/>
      <c r="K64" s="64"/>
      <c r="L64" s="23" t="s">
        <v>332</v>
      </c>
      <c r="M64" s="14"/>
      <c r="N64" s="11"/>
    </row>
    <row r="65" spans="1:14" ht="15" x14ac:dyDescent="0.25">
      <c r="A65" s="15"/>
      <c r="B65" s="15"/>
      <c r="C65" s="15"/>
      <c r="D65" s="15"/>
      <c r="E65" s="15"/>
      <c r="F65" s="22"/>
      <c r="G65" s="15"/>
      <c r="H65" s="15"/>
      <c r="I65" s="15"/>
      <c r="J65" s="15"/>
      <c r="K65" s="15"/>
      <c r="L65" s="15"/>
      <c r="M65" s="15"/>
      <c r="N65" s="11"/>
    </row>
    <row r="66" spans="1:14" ht="15" x14ac:dyDescent="0.25">
      <c r="A66" s="64">
        <v>12</v>
      </c>
      <c r="B66" s="61" t="str">
        <f>DEC2HEX(A66, 2)</f>
        <v>0C</v>
      </c>
      <c r="C66" s="64" t="s">
        <v>189</v>
      </c>
      <c r="D66" s="61" t="s">
        <v>301</v>
      </c>
      <c r="E66" s="14" t="s">
        <v>64</v>
      </c>
      <c r="F66" s="23" t="s">
        <v>146</v>
      </c>
      <c r="G66" s="31" t="s">
        <v>230</v>
      </c>
      <c r="H66" s="31" t="s">
        <v>20</v>
      </c>
      <c r="I66" s="31" t="s">
        <v>74</v>
      </c>
      <c r="J66" s="61" t="str" cm="1">
        <f t="array" ref="J66">PackBinary16_HighRegHex(F66:F74)</f>
        <v>FF</v>
      </c>
      <c r="K66" s="61" t="str" cm="1">
        <f t="array" ref="K66">PackBinary16_LowRegHex(F66:F74)</f>
        <v>D8</v>
      </c>
      <c r="L66" s="53" t="s">
        <v>146</v>
      </c>
      <c r="M66" s="61" t="s">
        <v>334</v>
      </c>
      <c r="N66" s="11"/>
    </row>
    <row r="67" spans="1:14" x14ac:dyDescent="0.25">
      <c r="A67" s="64"/>
      <c r="B67" s="62"/>
      <c r="C67" s="64"/>
      <c r="D67" s="62"/>
      <c r="E67" s="14" t="s">
        <v>206</v>
      </c>
      <c r="F67" s="23" t="s">
        <v>153</v>
      </c>
      <c r="G67" s="31" t="s">
        <v>76</v>
      </c>
      <c r="H67" s="31" t="s">
        <v>20</v>
      </c>
      <c r="I67" s="31" t="s">
        <v>232</v>
      </c>
      <c r="J67" s="62"/>
      <c r="K67" s="62"/>
      <c r="L67" s="53" t="s">
        <v>153</v>
      </c>
      <c r="M67" s="62"/>
      <c r="N67" s="11"/>
    </row>
    <row r="68" spans="1:14" x14ac:dyDescent="0.25">
      <c r="A68" s="64"/>
      <c r="B68" s="62"/>
      <c r="C68" s="64"/>
      <c r="D68" s="62"/>
      <c r="E68" s="14" t="s">
        <v>207</v>
      </c>
      <c r="F68" s="23" t="s">
        <v>147</v>
      </c>
      <c r="G68" s="31" t="s">
        <v>76</v>
      </c>
      <c r="H68" s="31" t="s">
        <v>20</v>
      </c>
      <c r="I68" s="31" t="s">
        <v>233</v>
      </c>
      <c r="J68" s="62"/>
      <c r="K68" s="62"/>
      <c r="L68" s="23" t="s">
        <v>147</v>
      </c>
      <c r="M68" s="62"/>
      <c r="N68" s="11"/>
    </row>
    <row r="69" spans="1:14" ht="15" x14ac:dyDescent="0.25">
      <c r="A69" s="64"/>
      <c r="B69" s="62"/>
      <c r="C69" s="64"/>
      <c r="D69" s="62"/>
      <c r="E69" s="14" t="s">
        <v>208</v>
      </c>
      <c r="F69" s="23" t="s">
        <v>327</v>
      </c>
      <c r="G69" s="31" t="s">
        <v>234</v>
      </c>
      <c r="H69" s="31" t="s">
        <v>20</v>
      </c>
      <c r="I69" s="31" t="s">
        <v>235</v>
      </c>
      <c r="J69" s="62"/>
      <c r="K69" s="62"/>
      <c r="L69" s="23" t="s">
        <v>327</v>
      </c>
      <c r="M69" s="62"/>
      <c r="N69" s="11"/>
    </row>
    <row r="70" spans="1:14" ht="18" customHeight="1" x14ac:dyDescent="0.25">
      <c r="A70" s="64"/>
      <c r="B70" s="62"/>
      <c r="C70" s="64"/>
      <c r="D70" s="62"/>
      <c r="E70" s="14" t="s">
        <v>203</v>
      </c>
      <c r="F70" s="23" t="s">
        <v>147</v>
      </c>
      <c r="G70" s="31" t="s">
        <v>236</v>
      </c>
      <c r="H70" s="31" t="s">
        <v>20</v>
      </c>
      <c r="I70" s="31" t="s">
        <v>237</v>
      </c>
      <c r="J70" s="62"/>
      <c r="K70" s="62"/>
      <c r="L70" s="23" t="s">
        <v>147</v>
      </c>
      <c r="M70" s="62"/>
      <c r="N70" s="11"/>
    </row>
    <row r="71" spans="1:14" ht="15" x14ac:dyDescent="0.25">
      <c r="A71" s="64"/>
      <c r="B71" s="62"/>
      <c r="C71" s="64"/>
      <c r="D71" s="62"/>
      <c r="E71" s="14" t="s">
        <v>157</v>
      </c>
      <c r="F71" s="23" t="s">
        <v>147</v>
      </c>
      <c r="G71" s="31" t="s">
        <v>238</v>
      </c>
      <c r="H71" s="31" t="s">
        <v>20</v>
      </c>
      <c r="I71" s="31" t="s">
        <v>239</v>
      </c>
      <c r="J71" s="62"/>
      <c r="K71" s="62"/>
      <c r="L71" s="23" t="s">
        <v>147</v>
      </c>
      <c r="M71" s="62"/>
      <c r="N71" s="11"/>
    </row>
    <row r="72" spans="1:14" ht="18" customHeight="1" x14ac:dyDescent="0.25">
      <c r="A72" s="64"/>
      <c r="B72" s="62"/>
      <c r="C72" s="64"/>
      <c r="D72" s="62"/>
      <c r="E72" s="14" t="s">
        <v>209</v>
      </c>
      <c r="F72" s="23" t="s">
        <v>147</v>
      </c>
      <c r="G72" s="31" t="s">
        <v>240</v>
      </c>
      <c r="H72" s="31" t="s">
        <v>20</v>
      </c>
      <c r="I72" s="31" t="s">
        <v>241</v>
      </c>
      <c r="J72" s="62"/>
      <c r="K72" s="62"/>
      <c r="L72" s="23" t="s">
        <v>147</v>
      </c>
      <c r="M72" s="62"/>
      <c r="N72" s="11"/>
    </row>
    <row r="73" spans="1:14" ht="18" customHeight="1" x14ac:dyDescent="0.25">
      <c r="A73" s="64"/>
      <c r="B73" s="62"/>
      <c r="C73" s="64"/>
      <c r="D73" s="62"/>
      <c r="E73" s="14" t="s">
        <v>23</v>
      </c>
      <c r="F73" s="23" t="s">
        <v>318</v>
      </c>
      <c r="G73" s="31" t="s">
        <v>24</v>
      </c>
      <c r="H73" s="31" t="s">
        <v>20</v>
      </c>
      <c r="I73" s="31" t="s">
        <v>25</v>
      </c>
      <c r="J73" s="62"/>
      <c r="K73" s="62"/>
      <c r="L73" s="23" t="s">
        <v>318</v>
      </c>
      <c r="M73" s="62"/>
      <c r="N73" s="11"/>
    </row>
    <row r="74" spans="1:14" ht="18" customHeight="1" x14ac:dyDescent="0.25">
      <c r="A74" s="64"/>
      <c r="B74" s="63"/>
      <c r="C74" s="64"/>
      <c r="D74" s="63"/>
      <c r="E74" s="14" t="s">
        <v>210</v>
      </c>
      <c r="F74" s="23" t="s">
        <v>147</v>
      </c>
      <c r="G74" s="31">
        <v>0</v>
      </c>
      <c r="H74" s="31" t="s">
        <v>10</v>
      </c>
      <c r="I74" s="31" t="s">
        <v>18</v>
      </c>
      <c r="J74" s="63"/>
      <c r="K74" s="63"/>
      <c r="L74" s="23" t="s">
        <v>147</v>
      </c>
      <c r="M74" s="63"/>
      <c r="N74" s="11"/>
    </row>
    <row r="75" spans="1:14" ht="18" customHeight="1" x14ac:dyDescent="0.25">
      <c r="A75" s="15"/>
      <c r="B75" s="15"/>
      <c r="C75" s="15"/>
      <c r="D75" s="15"/>
      <c r="E75" s="15"/>
      <c r="F75" s="22"/>
      <c r="G75" s="15"/>
      <c r="H75" s="15"/>
      <c r="I75" s="15"/>
      <c r="J75" s="15"/>
      <c r="K75" s="15"/>
      <c r="L75" s="15"/>
      <c r="M75" s="15"/>
      <c r="N75" s="11"/>
    </row>
    <row r="76" spans="1:14" ht="18" customHeight="1" x14ac:dyDescent="0.25">
      <c r="A76" s="69">
        <v>13</v>
      </c>
      <c r="B76" s="70" t="str">
        <f>DEC2HEX(A76, 2)</f>
        <v>0D</v>
      </c>
      <c r="C76" s="69" t="s">
        <v>190</v>
      </c>
      <c r="D76" s="70" t="s">
        <v>301</v>
      </c>
      <c r="E76" s="14" t="s">
        <v>64</v>
      </c>
      <c r="F76" s="23" t="s">
        <v>318</v>
      </c>
      <c r="G76" s="43" t="s">
        <v>79</v>
      </c>
      <c r="H76" s="43" t="s">
        <v>20</v>
      </c>
      <c r="I76" s="43" t="s">
        <v>80</v>
      </c>
      <c r="J76" s="61" t="str" cm="1">
        <f t="array" ref="J76">PackBinary16_HighRegHex(F76:F80)</f>
        <v>00</v>
      </c>
      <c r="K76" s="61" t="str" cm="1">
        <f t="array" ref="K76">PackBinary16_LowRegHex(F76:F80)</f>
        <v>1F</v>
      </c>
      <c r="L76" s="23" t="s">
        <v>318</v>
      </c>
      <c r="M76" s="14"/>
      <c r="N76" s="11"/>
    </row>
    <row r="77" spans="1:14" ht="18" customHeight="1" x14ac:dyDescent="0.25">
      <c r="A77" s="69"/>
      <c r="B77" s="62"/>
      <c r="C77" s="69"/>
      <c r="D77" s="62"/>
      <c r="E77" s="14" t="s">
        <v>66</v>
      </c>
      <c r="F77" s="23" t="s">
        <v>318</v>
      </c>
      <c r="G77" s="43" t="s">
        <v>79</v>
      </c>
      <c r="H77" s="43" t="s">
        <v>20</v>
      </c>
      <c r="I77" s="43" t="s">
        <v>82</v>
      </c>
      <c r="J77" s="62"/>
      <c r="K77" s="62"/>
      <c r="L77" s="23" t="s">
        <v>318</v>
      </c>
      <c r="M77" s="14"/>
      <c r="N77" s="11"/>
    </row>
    <row r="78" spans="1:14" ht="18" customHeight="1" x14ac:dyDescent="0.25">
      <c r="A78" s="69"/>
      <c r="B78" s="62"/>
      <c r="C78" s="69"/>
      <c r="D78" s="62"/>
      <c r="E78" s="14" t="s">
        <v>43</v>
      </c>
      <c r="F78" s="23" t="s">
        <v>318</v>
      </c>
      <c r="G78" s="44" t="s">
        <v>230</v>
      </c>
      <c r="H78" s="43" t="s">
        <v>20</v>
      </c>
      <c r="I78" s="43" t="s">
        <v>242</v>
      </c>
      <c r="J78" s="62"/>
      <c r="K78" s="62"/>
      <c r="L78" s="23" t="s">
        <v>147</v>
      </c>
      <c r="M78" s="14"/>
      <c r="N78" s="11"/>
    </row>
    <row r="79" spans="1:14" ht="18" customHeight="1" x14ac:dyDescent="0.25">
      <c r="A79" s="69"/>
      <c r="B79" s="62"/>
      <c r="C79" s="69"/>
      <c r="D79" s="62"/>
      <c r="E79" s="14" t="s">
        <v>207</v>
      </c>
      <c r="F79" s="23" t="s">
        <v>147</v>
      </c>
      <c r="G79" s="44" t="s">
        <v>243</v>
      </c>
      <c r="H79" s="43" t="s">
        <v>20</v>
      </c>
      <c r="I79" s="43" t="s">
        <v>72</v>
      </c>
      <c r="J79" s="62"/>
      <c r="K79" s="62"/>
      <c r="L79" s="23" t="s">
        <v>147</v>
      </c>
      <c r="M79" s="14"/>
      <c r="N79" s="11"/>
    </row>
    <row r="80" spans="1:14" ht="18" customHeight="1" x14ac:dyDescent="0.25">
      <c r="A80" s="69"/>
      <c r="B80" s="63"/>
      <c r="C80" s="69"/>
      <c r="D80" s="63"/>
      <c r="E80" s="14" t="s">
        <v>211</v>
      </c>
      <c r="F80" s="23" t="s">
        <v>335</v>
      </c>
      <c r="G80" s="43">
        <v>0</v>
      </c>
      <c r="H80" s="43" t="s">
        <v>10</v>
      </c>
      <c r="I80" s="43" t="s">
        <v>18</v>
      </c>
      <c r="J80" s="63"/>
      <c r="K80" s="63"/>
      <c r="L80" s="23" t="s">
        <v>335</v>
      </c>
      <c r="M80" s="14"/>
      <c r="N80" s="11"/>
    </row>
    <row r="81" spans="1:14" ht="18" customHeight="1" x14ac:dyDescent="0.25">
      <c r="A81" s="15"/>
      <c r="B81" s="15"/>
      <c r="C81" s="15"/>
      <c r="D81" s="15"/>
      <c r="E81" s="15"/>
      <c r="F81" s="22"/>
      <c r="G81" s="15"/>
      <c r="H81" s="15"/>
      <c r="I81" s="15"/>
      <c r="J81" s="15"/>
      <c r="K81" s="15"/>
      <c r="L81" s="15"/>
      <c r="M81" s="15"/>
      <c r="N81" s="11"/>
    </row>
    <row r="82" spans="1:14" ht="18" customHeight="1" x14ac:dyDescent="0.25">
      <c r="A82" s="64">
        <v>14</v>
      </c>
      <c r="B82" s="61" t="str">
        <f>DEC2HEX(A82, 2)</f>
        <v>0E</v>
      </c>
      <c r="C82" s="64" t="s">
        <v>97</v>
      </c>
      <c r="D82" s="61" t="s">
        <v>301</v>
      </c>
      <c r="E82" s="14" t="s">
        <v>64</v>
      </c>
      <c r="F82" s="23" t="s">
        <v>146</v>
      </c>
      <c r="G82" s="14" t="s">
        <v>98</v>
      </c>
      <c r="H82" s="14" t="s">
        <v>10</v>
      </c>
      <c r="I82" s="14" t="s">
        <v>99</v>
      </c>
      <c r="J82" s="61" t="str" cm="1">
        <f t="array" ref="J82">PackBinary16_HighRegHex(F82:F84)</f>
        <v>00</v>
      </c>
      <c r="K82" s="61" t="str" cm="1">
        <f t="array" ref="K82">PackBinary16_LowRegHex(F82:F84)</f>
        <v>02</v>
      </c>
      <c r="L82" s="23" t="s">
        <v>146</v>
      </c>
      <c r="M82" s="14"/>
      <c r="N82" s="11"/>
    </row>
    <row r="83" spans="1:14" ht="18" customHeight="1" x14ac:dyDescent="0.25">
      <c r="A83" s="64"/>
      <c r="B83" s="62"/>
      <c r="C83" s="64"/>
      <c r="D83" s="62"/>
      <c r="E83" s="14" t="s">
        <v>66</v>
      </c>
      <c r="F83" s="23" t="s">
        <v>318</v>
      </c>
      <c r="G83" s="14" t="s">
        <v>100</v>
      </c>
      <c r="H83" s="14" t="s">
        <v>10</v>
      </c>
      <c r="I83" s="14" t="s">
        <v>101</v>
      </c>
      <c r="J83" s="62"/>
      <c r="K83" s="62"/>
      <c r="L83" s="23" t="s">
        <v>318</v>
      </c>
      <c r="M83" s="14"/>
      <c r="N83" s="11"/>
    </row>
    <row r="84" spans="1:14" ht="18" customHeight="1" x14ac:dyDescent="0.25">
      <c r="A84" s="64"/>
      <c r="B84" s="63"/>
      <c r="C84" s="64"/>
      <c r="D84" s="63"/>
      <c r="E84" s="14" t="s">
        <v>212</v>
      </c>
      <c r="F84" s="23" t="s">
        <v>336</v>
      </c>
      <c r="G84" s="14">
        <v>0</v>
      </c>
      <c r="H84" s="14" t="s">
        <v>10</v>
      </c>
      <c r="I84" s="14" t="s">
        <v>18</v>
      </c>
      <c r="J84" s="63"/>
      <c r="K84" s="63"/>
      <c r="L84" s="23" t="s">
        <v>336</v>
      </c>
      <c r="M84" s="14"/>
      <c r="N84" s="11"/>
    </row>
    <row r="85" spans="1:14" ht="18" customHeight="1" x14ac:dyDescent="0.25">
      <c r="A85" s="15"/>
      <c r="B85" s="15"/>
      <c r="C85" s="15"/>
      <c r="D85" s="15"/>
      <c r="E85" s="15"/>
      <c r="F85" s="22"/>
      <c r="G85" s="15"/>
      <c r="H85" s="15"/>
      <c r="I85" s="15"/>
      <c r="J85" s="56"/>
      <c r="K85" s="56"/>
      <c r="L85" s="15"/>
      <c r="M85" s="15"/>
      <c r="N85" s="11"/>
    </row>
    <row r="86" spans="1:14" ht="30" x14ac:dyDescent="0.25">
      <c r="A86" s="69">
        <v>15</v>
      </c>
      <c r="B86" s="70" t="str">
        <f>DEC2HEX(A86, 2)</f>
        <v>0F</v>
      </c>
      <c r="C86" s="69" t="s">
        <v>102</v>
      </c>
      <c r="D86" s="70" t="s">
        <v>8</v>
      </c>
      <c r="E86" s="14" t="s">
        <v>64</v>
      </c>
      <c r="F86" s="23" t="s">
        <v>318</v>
      </c>
      <c r="G86" s="43" t="s">
        <v>103</v>
      </c>
      <c r="H86" s="43"/>
      <c r="I86" s="45" t="s">
        <v>104</v>
      </c>
      <c r="J86" s="61" t="str" cm="1">
        <f t="array" ref="J86">PackBinary16_HighRegHex(F86:F96)</f>
        <v>03</v>
      </c>
      <c r="K86" s="61" t="str" cm="1">
        <f t="array" ref="K86">PackBinary16_LowRegHex(F86:F96)</f>
        <v>FB</v>
      </c>
      <c r="L86" s="23" t="s">
        <v>318</v>
      </c>
      <c r="M86" s="14"/>
      <c r="N86" s="11"/>
    </row>
    <row r="87" spans="1:14" ht="15" x14ac:dyDescent="0.25">
      <c r="A87" s="69"/>
      <c r="B87" s="62"/>
      <c r="C87" s="69"/>
      <c r="D87" s="62"/>
      <c r="E87" s="14" t="s">
        <v>66</v>
      </c>
      <c r="F87" s="23" t="s">
        <v>318</v>
      </c>
      <c r="G87" s="43" t="s">
        <v>105</v>
      </c>
      <c r="H87" s="43"/>
      <c r="I87" s="43" t="s">
        <v>106</v>
      </c>
      <c r="J87" s="62"/>
      <c r="K87" s="62"/>
      <c r="L87" s="23" t="s">
        <v>318</v>
      </c>
      <c r="M87" s="14"/>
      <c r="N87" s="11"/>
    </row>
    <row r="88" spans="1:14" ht="18" customHeight="1" x14ac:dyDescent="0.25">
      <c r="A88" s="69"/>
      <c r="B88" s="62"/>
      <c r="C88" s="69"/>
      <c r="D88" s="62"/>
      <c r="E88" s="14" t="s">
        <v>43</v>
      </c>
      <c r="F88" s="23" t="s">
        <v>146</v>
      </c>
      <c r="G88" s="43" t="s">
        <v>107</v>
      </c>
      <c r="H88" s="43"/>
      <c r="I88" s="43" t="s">
        <v>108</v>
      </c>
      <c r="J88" s="62"/>
      <c r="K88" s="62"/>
      <c r="L88" s="23" t="s">
        <v>146</v>
      </c>
      <c r="M88" s="14"/>
      <c r="N88" s="11"/>
    </row>
    <row r="89" spans="1:14" ht="18" customHeight="1" x14ac:dyDescent="0.25">
      <c r="A89" s="69"/>
      <c r="B89" s="62"/>
      <c r="C89" s="69"/>
      <c r="D89" s="62"/>
      <c r="E89" s="14" t="s">
        <v>68</v>
      </c>
      <c r="F89" s="23" t="s">
        <v>318</v>
      </c>
      <c r="G89" s="43" t="s">
        <v>110</v>
      </c>
      <c r="H89" s="43"/>
      <c r="I89" s="43" t="s">
        <v>111</v>
      </c>
      <c r="J89" s="62"/>
      <c r="K89" s="62"/>
      <c r="L89" s="23" t="s">
        <v>318</v>
      </c>
      <c r="M89" s="14"/>
      <c r="N89" s="11"/>
    </row>
    <row r="90" spans="1:14" ht="18" customHeight="1" x14ac:dyDescent="0.25">
      <c r="A90" s="69"/>
      <c r="B90" s="62"/>
      <c r="C90" s="69"/>
      <c r="D90" s="62"/>
      <c r="E90" s="14" t="s">
        <v>81</v>
      </c>
      <c r="F90" s="23" t="s">
        <v>318</v>
      </c>
      <c r="G90" s="43" t="s">
        <v>112</v>
      </c>
      <c r="H90" s="43"/>
      <c r="I90" s="43" t="s">
        <v>113</v>
      </c>
      <c r="J90" s="62"/>
      <c r="K90" s="62"/>
      <c r="L90" s="23" t="s">
        <v>318</v>
      </c>
      <c r="M90" s="14"/>
      <c r="N90" s="11"/>
    </row>
    <row r="91" spans="1:14" ht="18" customHeight="1" x14ac:dyDescent="0.25">
      <c r="A91" s="69"/>
      <c r="B91" s="62"/>
      <c r="C91" s="69"/>
      <c r="D91" s="62"/>
      <c r="E91" s="14" t="s">
        <v>60</v>
      </c>
      <c r="F91" s="23" t="s">
        <v>318</v>
      </c>
      <c r="G91" s="43" t="s">
        <v>114</v>
      </c>
      <c r="H91" s="43"/>
      <c r="I91" s="43" t="s">
        <v>115</v>
      </c>
      <c r="J91" s="62"/>
      <c r="K91" s="62"/>
      <c r="L91" s="23" t="s">
        <v>318</v>
      </c>
      <c r="M91" s="14"/>
      <c r="N91" s="11"/>
    </row>
    <row r="92" spans="1:14" ht="18" customHeight="1" x14ac:dyDescent="0.25">
      <c r="A92" s="69"/>
      <c r="B92" s="62"/>
      <c r="C92" s="69"/>
      <c r="D92" s="62"/>
      <c r="E92" s="14" t="s">
        <v>116</v>
      </c>
      <c r="F92" s="23" t="s">
        <v>318</v>
      </c>
      <c r="G92" s="43" t="s">
        <v>117</v>
      </c>
      <c r="H92" s="43"/>
      <c r="I92" s="43" t="s">
        <v>118</v>
      </c>
      <c r="J92" s="62"/>
      <c r="K92" s="62"/>
      <c r="L92" s="53" t="s">
        <v>318</v>
      </c>
      <c r="M92" s="14"/>
      <c r="N92" s="11"/>
    </row>
    <row r="93" spans="1:14" ht="18" customHeight="1" x14ac:dyDescent="0.25">
      <c r="A93" s="69"/>
      <c r="B93" s="62"/>
      <c r="C93" s="69"/>
      <c r="D93" s="62"/>
      <c r="E93" s="14" t="s">
        <v>49</v>
      </c>
      <c r="F93" s="23" t="s">
        <v>318</v>
      </c>
      <c r="G93" s="43" t="s">
        <v>244</v>
      </c>
      <c r="H93" s="43"/>
      <c r="I93" s="43" t="s">
        <v>119</v>
      </c>
      <c r="J93" s="62"/>
      <c r="K93" s="62"/>
      <c r="L93" s="23" t="s">
        <v>318</v>
      </c>
      <c r="M93" s="14"/>
      <c r="N93" s="11"/>
    </row>
    <row r="94" spans="1:14" ht="18" customHeight="1" x14ac:dyDescent="0.25">
      <c r="A94" s="69"/>
      <c r="B94" s="62"/>
      <c r="C94" s="69"/>
      <c r="D94" s="62"/>
      <c r="E94" s="14" t="s">
        <v>50</v>
      </c>
      <c r="F94" s="23" t="s">
        <v>318</v>
      </c>
      <c r="G94" s="43" t="s">
        <v>120</v>
      </c>
      <c r="H94" s="43"/>
      <c r="I94" s="43" t="s">
        <v>121</v>
      </c>
      <c r="J94" s="62"/>
      <c r="K94" s="62"/>
      <c r="L94" s="23" t="s">
        <v>318</v>
      </c>
      <c r="M94" s="14"/>
      <c r="N94" s="11"/>
    </row>
    <row r="95" spans="1:14" ht="30" x14ac:dyDescent="0.25">
      <c r="A95" s="69"/>
      <c r="B95" s="62"/>
      <c r="C95" s="69"/>
      <c r="D95" s="62"/>
      <c r="E95" s="14" t="s">
        <v>122</v>
      </c>
      <c r="F95" s="23" t="s">
        <v>318</v>
      </c>
      <c r="G95" s="43" t="s">
        <v>123</v>
      </c>
      <c r="H95" s="43"/>
      <c r="I95" s="45" t="s">
        <v>124</v>
      </c>
      <c r="J95" s="62"/>
      <c r="K95" s="62"/>
      <c r="L95" s="23" t="s">
        <v>318</v>
      </c>
      <c r="M95" s="14"/>
      <c r="N95" s="11"/>
    </row>
    <row r="96" spans="1:14" ht="18" customHeight="1" x14ac:dyDescent="0.25">
      <c r="A96" s="69"/>
      <c r="B96" s="63"/>
      <c r="C96" s="69"/>
      <c r="D96" s="63"/>
      <c r="E96" s="14" t="s">
        <v>181</v>
      </c>
      <c r="F96" s="23" t="s">
        <v>303</v>
      </c>
      <c r="G96" s="43">
        <v>0</v>
      </c>
      <c r="H96" s="43"/>
      <c r="I96" s="43" t="s">
        <v>18</v>
      </c>
      <c r="J96" s="63"/>
      <c r="K96" s="63"/>
      <c r="L96" s="23" t="s">
        <v>303</v>
      </c>
      <c r="M96" s="14"/>
      <c r="N96" s="11"/>
    </row>
    <row r="97" spans="1:19" ht="18" customHeight="1" x14ac:dyDescent="0.25">
      <c r="A97" s="15"/>
      <c r="B97" s="15"/>
      <c r="C97" s="15"/>
      <c r="D97" s="15"/>
      <c r="E97" s="15"/>
      <c r="F97" s="22"/>
      <c r="G97" s="15"/>
      <c r="H97" s="15"/>
      <c r="I97" s="15"/>
      <c r="J97" s="15"/>
      <c r="K97" s="15"/>
      <c r="L97" s="15"/>
      <c r="M97" s="15"/>
      <c r="N97" s="11"/>
    </row>
    <row r="98" spans="1:19" ht="18" customHeight="1" x14ac:dyDescent="0.25">
      <c r="A98" s="64">
        <v>16</v>
      </c>
      <c r="B98" s="61" t="str">
        <f>DEC2HEX(A98, 2)</f>
        <v>10</v>
      </c>
      <c r="C98" s="64" t="s">
        <v>125</v>
      </c>
      <c r="D98" s="61" t="s">
        <v>8</v>
      </c>
      <c r="E98" s="14" t="s">
        <v>64</v>
      </c>
      <c r="F98" s="23" t="s">
        <v>318</v>
      </c>
      <c r="G98" s="64" t="s">
        <v>107</v>
      </c>
      <c r="H98" s="14"/>
      <c r="I98" s="14" t="s">
        <v>126</v>
      </c>
      <c r="J98" s="61" t="str" cm="1">
        <f t="array" ref="J98">PackBinary16_HighRegHex(F98:F109)</f>
        <v>FF</v>
      </c>
      <c r="K98" s="61" t="str" cm="1">
        <f t="array" ref="K98">PackBinary16_LowRegHex(F98:F109)</f>
        <v>F3</v>
      </c>
      <c r="L98" s="23" t="s">
        <v>318</v>
      </c>
      <c r="M98" s="14"/>
      <c r="N98" s="11"/>
    </row>
    <row r="99" spans="1:19" ht="18" customHeight="1" x14ac:dyDescent="0.25">
      <c r="A99" s="64"/>
      <c r="B99" s="62"/>
      <c r="C99" s="64"/>
      <c r="D99" s="62"/>
      <c r="E99" s="14" t="s">
        <v>66</v>
      </c>
      <c r="F99" s="23" t="s">
        <v>318</v>
      </c>
      <c r="G99" s="64"/>
      <c r="H99" s="14"/>
      <c r="I99" s="14" t="s">
        <v>128</v>
      </c>
      <c r="J99" s="62"/>
      <c r="K99" s="62"/>
      <c r="L99" s="23" t="s">
        <v>318</v>
      </c>
      <c r="M99" s="14"/>
      <c r="N99" s="11"/>
    </row>
    <row r="100" spans="1:19" ht="18" customHeight="1" x14ac:dyDescent="0.25">
      <c r="A100" s="64"/>
      <c r="B100" s="62"/>
      <c r="C100" s="64"/>
      <c r="D100" s="62"/>
      <c r="E100" s="14" t="s">
        <v>43</v>
      </c>
      <c r="F100" s="23" t="s">
        <v>146</v>
      </c>
      <c r="G100" s="64"/>
      <c r="H100" s="14"/>
      <c r="I100" s="31" t="s">
        <v>245</v>
      </c>
      <c r="J100" s="62"/>
      <c r="K100" s="62"/>
      <c r="L100" s="23" t="s">
        <v>146</v>
      </c>
      <c r="M100" s="14"/>
      <c r="N100" s="11"/>
    </row>
    <row r="101" spans="1:19" ht="18" customHeight="1" x14ac:dyDescent="0.25">
      <c r="A101" s="64"/>
      <c r="B101" s="62"/>
      <c r="C101" s="64"/>
      <c r="D101" s="62"/>
      <c r="E101" s="14" t="s">
        <v>68</v>
      </c>
      <c r="F101" s="23" t="s">
        <v>146</v>
      </c>
      <c r="G101" s="64"/>
      <c r="H101" s="14"/>
      <c r="I101" s="31" t="s">
        <v>246</v>
      </c>
      <c r="J101" s="62"/>
      <c r="K101" s="62"/>
      <c r="L101" s="53" t="s">
        <v>146</v>
      </c>
      <c r="M101" s="14"/>
      <c r="S101" s="28" t="s">
        <v>73</v>
      </c>
    </row>
    <row r="102" spans="1:19" ht="18" customHeight="1" x14ac:dyDescent="0.25">
      <c r="A102" s="64"/>
      <c r="B102" s="62"/>
      <c r="C102" s="64"/>
      <c r="D102" s="62"/>
      <c r="E102" s="14" t="s">
        <v>81</v>
      </c>
      <c r="F102" s="23" t="s">
        <v>318</v>
      </c>
      <c r="G102" s="64"/>
      <c r="H102" s="14"/>
      <c r="I102" s="14" t="s">
        <v>129</v>
      </c>
      <c r="J102" s="62"/>
      <c r="K102" s="62"/>
      <c r="L102" s="23" t="s">
        <v>318</v>
      </c>
      <c r="M102" s="14"/>
      <c r="N102" s="11"/>
    </row>
    <row r="103" spans="1:19" ht="18" customHeight="1" x14ac:dyDescent="0.25">
      <c r="A103" s="64"/>
      <c r="B103" s="62"/>
      <c r="C103" s="64"/>
      <c r="D103" s="62"/>
      <c r="E103" s="14" t="s">
        <v>60</v>
      </c>
      <c r="F103" s="23" t="s">
        <v>318</v>
      </c>
      <c r="G103" s="64"/>
      <c r="H103" s="14"/>
      <c r="I103" s="14" t="s">
        <v>130</v>
      </c>
      <c r="J103" s="62"/>
      <c r="K103" s="62"/>
      <c r="L103" s="23" t="s">
        <v>318</v>
      </c>
      <c r="M103" s="14"/>
      <c r="N103" s="11"/>
    </row>
    <row r="104" spans="1:19" ht="18" customHeight="1" x14ac:dyDescent="0.25">
      <c r="A104" s="64"/>
      <c r="B104" s="62"/>
      <c r="C104" s="64"/>
      <c r="D104" s="62"/>
      <c r="E104" s="14" t="s">
        <v>116</v>
      </c>
      <c r="F104" s="23" t="s">
        <v>318</v>
      </c>
      <c r="G104" s="64"/>
      <c r="H104" s="14"/>
      <c r="I104" s="14" t="s">
        <v>131</v>
      </c>
      <c r="J104" s="62"/>
      <c r="K104" s="62"/>
      <c r="L104" s="23" t="s">
        <v>318</v>
      </c>
      <c r="M104" s="14"/>
      <c r="N104" s="11"/>
    </row>
    <row r="105" spans="1:19" ht="18" customHeight="1" x14ac:dyDescent="0.25">
      <c r="A105" s="64"/>
      <c r="B105" s="62"/>
      <c r="C105" s="64"/>
      <c r="D105" s="62"/>
      <c r="E105" s="14" t="s">
        <v>49</v>
      </c>
      <c r="F105" s="23" t="s">
        <v>318</v>
      </c>
      <c r="G105" s="64"/>
      <c r="H105" s="14"/>
      <c r="I105" s="14" t="s">
        <v>132</v>
      </c>
      <c r="J105" s="62"/>
      <c r="K105" s="62"/>
      <c r="L105" s="23" t="s">
        <v>318</v>
      </c>
      <c r="M105" s="14"/>
      <c r="N105" s="11"/>
    </row>
    <row r="106" spans="1:19" ht="18" customHeight="1" x14ac:dyDescent="0.25">
      <c r="A106" s="64"/>
      <c r="B106" s="62"/>
      <c r="C106" s="64"/>
      <c r="D106" s="62"/>
      <c r="E106" s="14" t="s">
        <v>50</v>
      </c>
      <c r="F106" s="23" t="s">
        <v>318</v>
      </c>
      <c r="G106" s="64"/>
      <c r="H106" s="14"/>
      <c r="I106" s="14" t="s">
        <v>133</v>
      </c>
      <c r="J106" s="62"/>
      <c r="K106" s="62"/>
      <c r="L106" s="23" t="s">
        <v>318</v>
      </c>
      <c r="M106" s="14"/>
      <c r="N106" s="11"/>
    </row>
    <row r="107" spans="1:19" ht="18" customHeight="1" x14ac:dyDescent="0.25">
      <c r="A107" s="64"/>
      <c r="B107" s="62"/>
      <c r="C107" s="64"/>
      <c r="D107" s="62"/>
      <c r="E107" s="14" t="s">
        <v>122</v>
      </c>
      <c r="F107" s="23" t="s">
        <v>318</v>
      </c>
      <c r="G107" s="64"/>
      <c r="H107" s="14"/>
      <c r="I107" s="14" t="s">
        <v>134</v>
      </c>
      <c r="J107" s="62"/>
      <c r="K107" s="62"/>
      <c r="L107" s="23" t="s">
        <v>318</v>
      </c>
      <c r="M107" s="14"/>
      <c r="N107" s="11"/>
    </row>
    <row r="108" spans="1:19" ht="18" customHeight="1" x14ac:dyDescent="0.25">
      <c r="A108" s="64"/>
      <c r="B108" s="62"/>
      <c r="C108" s="64"/>
      <c r="D108" s="62"/>
      <c r="E108" s="14" t="s">
        <v>213</v>
      </c>
      <c r="F108" s="23" t="s">
        <v>318</v>
      </c>
      <c r="G108" s="64"/>
      <c r="H108" s="14"/>
      <c r="I108" s="14" t="s">
        <v>135</v>
      </c>
      <c r="J108" s="62"/>
      <c r="K108" s="62"/>
      <c r="L108" s="53" t="s">
        <v>318</v>
      </c>
      <c r="M108" s="14"/>
      <c r="S108" s="28" t="s">
        <v>77</v>
      </c>
    </row>
    <row r="109" spans="1:19" ht="18" customHeight="1" x14ac:dyDescent="0.25">
      <c r="A109" s="64"/>
      <c r="B109" s="63"/>
      <c r="C109" s="64"/>
      <c r="D109" s="63"/>
      <c r="E109" s="14" t="s">
        <v>205</v>
      </c>
      <c r="F109" s="23" t="s">
        <v>330</v>
      </c>
      <c r="G109" s="14">
        <v>0</v>
      </c>
      <c r="H109" s="14"/>
      <c r="I109" s="14" t="s">
        <v>18</v>
      </c>
      <c r="J109" s="63"/>
      <c r="K109" s="63"/>
      <c r="L109" s="23" t="s">
        <v>324</v>
      </c>
      <c r="M109" s="14"/>
      <c r="N109" s="11"/>
    </row>
    <row r="110" spans="1:19" ht="18" customHeight="1" x14ac:dyDescent="0.25">
      <c r="A110" s="15"/>
      <c r="B110" s="15"/>
      <c r="C110" s="15"/>
      <c r="D110" s="15"/>
      <c r="E110" s="15"/>
      <c r="F110" s="22"/>
      <c r="G110" s="15"/>
      <c r="H110" s="15"/>
      <c r="I110" s="15"/>
      <c r="J110" s="15"/>
      <c r="K110" s="15"/>
      <c r="L110" s="15"/>
      <c r="M110" s="15"/>
      <c r="N110" s="11"/>
    </row>
    <row r="111" spans="1:19" ht="45" x14ac:dyDescent="0.25">
      <c r="A111" s="69">
        <v>17</v>
      </c>
      <c r="B111" s="70" t="str">
        <f>DEC2HEX(A111, 2)</f>
        <v>11</v>
      </c>
      <c r="C111" s="69" t="s">
        <v>136</v>
      </c>
      <c r="D111" s="70" t="s">
        <v>8</v>
      </c>
      <c r="E111" s="14" t="s">
        <v>170</v>
      </c>
      <c r="F111" s="23" t="s">
        <v>339</v>
      </c>
      <c r="G111" s="44" t="s">
        <v>247</v>
      </c>
      <c r="H111" s="44"/>
      <c r="I111" s="46" t="s">
        <v>248</v>
      </c>
      <c r="J111" s="14" t="str" cm="1">
        <f t="array" ref="J111">PackBinary16_HighRegHex(F111:F112)</f>
        <v>00</v>
      </c>
      <c r="K111" s="14" t="str" cm="1">
        <f t="array" ref="K111">PackBinary16_LowRegHex(F111:F112)</f>
        <v>07</v>
      </c>
      <c r="L111" s="23" t="s">
        <v>339</v>
      </c>
      <c r="M111" s="23" t="s">
        <v>340</v>
      </c>
      <c r="N111" s="11"/>
    </row>
    <row r="112" spans="1:19" ht="15" x14ac:dyDescent="0.25">
      <c r="A112" s="69"/>
      <c r="B112" s="63"/>
      <c r="C112" s="69"/>
      <c r="D112" s="63"/>
      <c r="E112" s="14" t="s">
        <v>205</v>
      </c>
      <c r="F112" s="23" t="s">
        <v>332</v>
      </c>
      <c r="G112" s="44">
        <v>0</v>
      </c>
      <c r="H112" s="44"/>
      <c r="I112" s="44" t="s">
        <v>18</v>
      </c>
      <c r="J112" s="14"/>
      <c r="K112" s="14"/>
      <c r="L112" s="23" t="s">
        <v>332</v>
      </c>
      <c r="M112" s="14"/>
      <c r="N112" s="11"/>
    </row>
    <row r="113" spans="1:14" ht="18" customHeight="1" x14ac:dyDescent="0.25">
      <c r="A113" s="15"/>
      <c r="B113" s="15"/>
      <c r="C113" s="15"/>
      <c r="D113" s="15"/>
      <c r="E113" s="15"/>
      <c r="F113" s="22"/>
      <c r="G113" s="15"/>
      <c r="H113" s="15"/>
      <c r="I113" s="15"/>
      <c r="J113" s="15"/>
      <c r="K113" s="15"/>
      <c r="L113" s="15"/>
      <c r="M113" s="15"/>
      <c r="N113" s="11"/>
    </row>
    <row r="114" spans="1:14" ht="45" x14ac:dyDescent="0.25">
      <c r="A114" s="64">
        <v>18</v>
      </c>
      <c r="B114" s="61" t="str">
        <f>DEC2HEX(A114, 2)</f>
        <v>12</v>
      </c>
      <c r="C114" s="64" t="s">
        <v>191</v>
      </c>
      <c r="D114" s="61" t="s">
        <v>8</v>
      </c>
      <c r="E114" s="14" t="s">
        <v>170</v>
      </c>
      <c r="F114" s="23" t="s">
        <v>320</v>
      </c>
      <c r="G114" s="31" t="s">
        <v>247</v>
      </c>
      <c r="H114" s="31"/>
      <c r="I114" s="32" t="s">
        <v>249</v>
      </c>
      <c r="J114" s="14" t="str" cm="1">
        <f t="array" ref="J114">PackBinary16_HighRegHex(F114:F115)</f>
        <v>FF</v>
      </c>
      <c r="K114" s="14" t="str" cm="1">
        <f t="array" ref="K114">PackBinary16_LowRegHex(F114:F115)</f>
        <v>FF</v>
      </c>
      <c r="L114" s="23" t="s">
        <v>320</v>
      </c>
      <c r="M114" s="23" t="s">
        <v>338</v>
      </c>
      <c r="N114" s="11"/>
    </row>
    <row r="115" spans="1:14" ht="18" customHeight="1" x14ac:dyDescent="0.25">
      <c r="A115" s="64"/>
      <c r="B115" s="63"/>
      <c r="C115" s="64"/>
      <c r="D115" s="63"/>
      <c r="E115" s="14" t="s">
        <v>205</v>
      </c>
      <c r="F115" s="23" t="s">
        <v>330</v>
      </c>
      <c r="G115" s="31">
        <v>0</v>
      </c>
      <c r="H115" s="31"/>
      <c r="I115" s="31" t="s">
        <v>18</v>
      </c>
      <c r="J115" s="14"/>
      <c r="K115" s="14"/>
      <c r="L115" s="23" t="s">
        <v>330</v>
      </c>
      <c r="M115" s="14"/>
      <c r="N115" s="11"/>
    </row>
    <row r="116" spans="1:14" ht="18" customHeight="1" x14ac:dyDescent="0.25">
      <c r="A116" s="15"/>
      <c r="B116" s="15"/>
      <c r="C116" s="15"/>
      <c r="D116" s="15"/>
      <c r="E116" s="15"/>
      <c r="F116" s="22"/>
      <c r="G116" s="15"/>
      <c r="H116" s="15"/>
      <c r="I116" s="15"/>
      <c r="J116" s="15"/>
      <c r="K116" s="15"/>
      <c r="L116" s="15"/>
      <c r="M116" s="15"/>
      <c r="N116" s="11"/>
    </row>
    <row r="117" spans="1:14" ht="45" x14ac:dyDescent="0.25">
      <c r="A117" s="69">
        <v>19</v>
      </c>
      <c r="B117" s="70" t="str">
        <f>DEC2HEX(A117, 2)</f>
        <v>13</v>
      </c>
      <c r="C117" s="69" t="s">
        <v>137</v>
      </c>
      <c r="D117" s="70" t="s">
        <v>8</v>
      </c>
      <c r="E117" s="14" t="s">
        <v>156</v>
      </c>
      <c r="F117" s="23" t="s">
        <v>323</v>
      </c>
      <c r="G117" s="44" t="s">
        <v>29</v>
      </c>
      <c r="H117" s="44"/>
      <c r="I117" s="46" t="s">
        <v>250</v>
      </c>
      <c r="J117" s="14" t="str" cm="1">
        <f t="array" ref="J117">PackBinary16_HighRegHex(F117:F118)</f>
        <v>01</v>
      </c>
      <c r="K117" s="14" t="str" cm="1">
        <f t="array" ref="K117">PackBinary16_LowRegHex(F117:F118)</f>
        <v>FF</v>
      </c>
      <c r="L117" s="23" t="s">
        <v>323</v>
      </c>
      <c r="M117" s="23" t="s">
        <v>325</v>
      </c>
      <c r="N117" s="11"/>
    </row>
    <row r="118" spans="1:14" ht="18" customHeight="1" x14ac:dyDescent="0.25">
      <c r="A118" s="69"/>
      <c r="B118" s="63"/>
      <c r="C118" s="69"/>
      <c r="D118" s="63"/>
      <c r="E118" s="14" t="s">
        <v>214</v>
      </c>
      <c r="F118" s="23" t="s">
        <v>342</v>
      </c>
      <c r="G118" s="44">
        <v>0</v>
      </c>
      <c r="H118" s="44"/>
      <c r="I118" s="44" t="s">
        <v>18</v>
      </c>
      <c r="J118" s="14"/>
      <c r="K118" s="14"/>
      <c r="L118" s="23" t="s">
        <v>342</v>
      </c>
      <c r="M118" s="14"/>
      <c r="N118" s="11"/>
    </row>
    <row r="119" spans="1:14" ht="18" customHeight="1" x14ac:dyDescent="0.25">
      <c r="A119" s="15"/>
      <c r="B119" s="15"/>
      <c r="C119" s="15"/>
      <c r="D119" s="15"/>
      <c r="E119" s="15"/>
      <c r="F119" s="22"/>
      <c r="G119" s="15"/>
      <c r="H119" s="15"/>
      <c r="I119" s="15"/>
      <c r="J119" s="15"/>
      <c r="K119" s="15"/>
      <c r="L119" s="15"/>
      <c r="M119" s="15"/>
      <c r="N119" s="11"/>
    </row>
    <row r="120" spans="1:14" ht="45" x14ac:dyDescent="0.25">
      <c r="A120" s="64">
        <v>20</v>
      </c>
      <c r="B120" s="61" t="str">
        <f>DEC2HEX(A120, 2)</f>
        <v>14</v>
      </c>
      <c r="C120" s="64" t="s">
        <v>192</v>
      </c>
      <c r="D120" s="61" t="s">
        <v>8</v>
      </c>
      <c r="E120" s="14" t="s">
        <v>156</v>
      </c>
      <c r="F120" s="23" t="s">
        <v>323</v>
      </c>
      <c r="G120" s="31" t="s">
        <v>29</v>
      </c>
      <c r="H120" s="31"/>
      <c r="I120" s="32" t="s">
        <v>251</v>
      </c>
      <c r="J120" s="14" t="str" cm="1">
        <f t="array" ref="J120">PackBinary16_HighRegHex(F120:F121)</f>
        <v>01</v>
      </c>
      <c r="K120" s="14" t="str" cm="1">
        <f t="array" ref="K120">PackBinary16_LowRegHex(F120:F121)</f>
        <v>FF</v>
      </c>
      <c r="L120" s="23" t="s">
        <v>323</v>
      </c>
      <c r="M120" s="23" t="s">
        <v>325</v>
      </c>
      <c r="N120" s="11"/>
    </row>
    <row r="121" spans="1:14" ht="18" customHeight="1" x14ac:dyDescent="0.25">
      <c r="A121" s="64"/>
      <c r="B121" s="63"/>
      <c r="C121" s="64"/>
      <c r="D121" s="63"/>
      <c r="E121" s="14" t="s">
        <v>214</v>
      </c>
      <c r="F121" s="23" t="s">
        <v>342</v>
      </c>
      <c r="G121" s="31">
        <v>0</v>
      </c>
      <c r="H121" s="31"/>
      <c r="I121" s="31" t="s">
        <v>18</v>
      </c>
      <c r="J121" s="14"/>
      <c r="K121" s="14"/>
      <c r="L121" s="23" t="s">
        <v>342</v>
      </c>
      <c r="M121" s="14"/>
      <c r="N121" s="11"/>
    </row>
    <row r="122" spans="1:14" ht="18" customHeight="1" x14ac:dyDescent="0.25">
      <c r="A122" s="15"/>
      <c r="B122" s="15"/>
      <c r="C122" s="15"/>
      <c r="D122" s="15"/>
      <c r="E122" s="15"/>
      <c r="F122" s="22"/>
      <c r="G122" s="15"/>
      <c r="H122" s="15"/>
      <c r="I122" s="15"/>
      <c r="J122" s="15"/>
      <c r="K122" s="15"/>
      <c r="L122" s="15"/>
      <c r="M122" s="15"/>
      <c r="N122" s="11"/>
    </row>
    <row r="123" spans="1:14" ht="60" x14ac:dyDescent="0.25">
      <c r="A123" s="69">
        <v>21</v>
      </c>
      <c r="B123" s="70" t="str">
        <f>DEC2HEX(A123, 2)</f>
        <v>15</v>
      </c>
      <c r="C123" s="69" t="s">
        <v>138</v>
      </c>
      <c r="D123" s="70" t="s">
        <v>8</v>
      </c>
      <c r="E123" s="14" t="s">
        <v>156</v>
      </c>
      <c r="F123" s="23" t="s">
        <v>323</v>
      </c>
      <c r="G123" s="44" t="s">
        <v>29</v>
      </c>
      <c r="H123" s="44"/>
      <c r="I123" s="45" t="s">
        <v>252</v>
      </c>
      <c r="J123" s="14" t="str" cm="1">
        <f t="array" ref="J123">PackBinary16_HighRegHex(F123:F124)</f>
        <v>0F</v>
      </c>
      <c r="K123" s="14" t="str" cm="1">
        <f t="array" ref="K123">PackBinary16_LowRegHex(F123:F124)</f>
        <v>FF</v>
      </c>
      <c r="L123" s="23" t="s">
        <v>323</v>
      </c>
      <c r="M123" s="23" t="s">
        <v>325</v>
      </c>
      <c r="N123" s="11"/>
    </row>
    <row r="124" spans="1:14" ht="15" x14ac:dyDescent="0.25">
      <c r="A124" s="69"/>
      <c r="B124" s="63"/>
      <c r="C124" s="69"/>
      <c r="D124" s="63"/>
      <c r="E124" s="14" t="s">
        <v>214</v>
      </c>
      <c r="F124" s="23" t="s">
        <v>344</v>
      </c>
      <c r="G124" s="44">
        <v>0</v>
      </c>
      <c r="H124" s="44"/>
      <c r="I124" s="43" t="s">
        <v>18</v>
      </c>
      <c r="J124" s="14"/>
      <c r="K124" s="14"/>
      <c r="L124" s="23" t="s">
        <v>344</v>
      </c>
      <c r="M124" s="14"/>
      <c r="N124" s="11"/>
    </row>
    <row r="125" spans="1:14" ht="18" customHeight="1" x14ac:dyDescent="0.25">
      <c r="A125" s="15"/>
      <c r="B125" s="15"/>
      <c r="C125" s="15"/>
      <c r="D125" s="15"/>
      <c r="E125" s="15"/>
      <c r="F125" s="22"/>
      <c r="G125" s="15"/>
      <c r="H125" s="15"/>
      <c r="I125" s="15"/>
      <c r="J125" s="15"/>
      <c r="K125" s="15"/>
      <c r="L125" s="15"/>
      <c r="M125" s="15"/>
      <c r="N125" s="11"/>
    </row>
    <row r="126" spans="1:14" ht="60" x14ac:dyDescent="0.25">
      <c r="A126" s="64">
        <v>22</v>
      </c>
      <c r="B126" s="61" t="str">
        <f>DEC2HEX(A126, 2)</f>
        <v>16</v>
      </c>
      <c r="C126" s="64" t="s">
        <v>193</v>
      </c>
      <c r="D126" s="61" t="s">
        <v>8</v>
      </c>
      <c r="E126" s="14" t="s">
        <v>156</v>
      </c>
      <c r="F126" s="23" t="s">
        <v>323</v>
      </c>
      <c r="G126" s="31" t="s">
        <v>29</v>
      </c>
      <c r="H126" s="31"/>
      <c r="I126" s="27" t="s">
        <v>253</v>
      </c>
      <c r="J126" s="14" t="str" cm="1">
        <f t="array" ref="J126">PackBinary16_HighRegHex(F126:F127)</f>
        <v>01</v>
      </c>
      <c r="K126" s="14" t="str" cm="1">
        <f t="array" ref="K126">PackBinary16_LowRegHex(F126:F127)</f>
        <v>FF</v>
      </c>
      <c r="L126" s="23" t="s">
        <v>323</v>
      </c>
      <c r="M126" s="23" t="s">
        <v>325</v>
      </c>
      <c r="N126" s="11"/>
    </row>
    <row r="127" spans="1:14" ht="18" customHeight="1" x14ac:dyDescent="0.25">
      <c r="A127" s="64"/>
      <c r="B127" s="63"/>
      <c r="C127" s="64"/>
      <c r="D127" s="63"/>
      <c r="E127" s="14" t="s">
        <v>214</v>
      </c>
      <c r="F127" s="23" t="s">
        <v>342</v>
      </c>
      <c r="G127" s="31">
        <v>0</v>
      </c>
      <c r="H127" s="31"/>
      <c r="I127" s="14" t="s">
        <v>18</v>
      </c>
      <c r="J127" s="14"/>
      <c r="K127" s="14"/>
      <c r="L127" s="23" t="s">
        <v>342</v>
      </c>
      <c r="M127" s="14"/>
      <c r="N127" s="11"/>
    </row>
    <row r="128" spans="1:14" ht="18" customHeight="1" x14ac:dyDescent="0.25">
      <c r="A128" s="15"/>
      <c r="B128" s="15"/>
      <c r="C128" s="15"/>
      <c r="D128" s="15"/>
      <c r="E128" s="15"/>
      <c r="F128" s="22"/>
      <c r="G128" s="15"/>
      <c r="H128" s="15"/>
      <c r="I128" s="15"/>
      <c r="J128" s="15"/>
      <c r="K128" s="15"/>
      <c r="L128" s="15"/>
      <c r="M128" s="15"/>
      <c r="N128" s="11"/>
    </row>
    <row r="129" spans="1:19" ht="60" x14ac:dyDescent="0.25">
      <c r="A129" s="69">
        <v>23</v>
      </c>
      <c r="B129" s="70" t="str">
        <f>DEC2HEX(A129, 2)</f>
        <v>17</v>
      </c>
      <c r="C129" s="69" t="s">
        <v>139</v>
      </c>
      <c r="D129" s="70" t="s">
        <v>8</v>
      </c>
      <c r="E129" s="14" t="s">
        <v>156</v>
      </c>
      <c r="F129" s="23" t="s">
        <v>323</v>
      </c>
      <c r="G129" s="44" t="s">
        <v>29</v>
      </c>
      <c r="H129" s="44"/>
      <c r="I129" s="46" t="s">
        <v>254</v>
      </c>
      <c r="J129" s="14" t="str" cm="1">
        <f t="array" ref="J129">PackBinary16_HighRegHex(F129:F130)</f>
        <v>01</v>
      </c>
      <c r="K129" s="14" t="str" cm="1">
        <f t="array" ref="K129">PackBinary16_LowRegHex(F129:F130)</f>
        <v>FF</v>
      </c>
      <c r="L129" s="23" t="s">
        <v>323</v>
      </c>
      <c r="M129" s="23" t="s">
        <v>325</v>
      </c>
      <c r="N129" s="11"/>
    </row>
    <row r="130" spans="1:19" ht="15" x14ac:dyDescent="0.25">
      <c r="A130" s="69"/>
      <c r="B130" s="63"/>
      <c r="C130" s="69"/>
      <c r="D130" s="63"/>
      <c r="E130" s="14" t="s">
        <v>214</v>
      </c>
      <c r="F130" s="23" t="s">
        <v>342</v>
      </c>
      <c r="G130" s="44">
        <v>0</v>
      </c>
      <c r="H130" s="44"/>
      <c r="I130" s="44" t="s">
        <v>18</v>
      </c>
      <c r="J130" s="14"/>
      <c r="K130" s="14"/>
      <c r="L130" s="23" t="s">
        <v>342</v>
      </c>
      <c r="M130" s="14"/>
      <c r="N130" s="11"/>
    </row>
    <row r="131" spans="1:19" ht="18" customHeight="1" x14ac:dyDescent="0.25">
      <c r="A131" s="15"/>
      <c r="B131" s="15"/>
      <c r="C131" s="15"/>
      <c r="D131" s="15"/>
      <c r="E131" s="15"/>
      <c r="F131" s="22"/>
      <c r="G131" s="15"/>
      <c r="H131" s="15"/>
      <c r="I131" s="15"/>
      <c r="J131" s="15"/>
      <c r="K131" s="15"/>
      <c r="L131" s="15"/>
      <c r="M131" s="15"/>
      <c r="N131" s="11"/>
    </row>
    <row r="132" spans="1:19" ht="30" x14ac:dyDescent="0.25">
      <c r="A132" s="64">
        <v>24</v>
      </c>
      <c r="B132" s="61" t="str">
        <f>DEC2HEX(A132, 2)</f>
        <v>18</v>
      </c>
      <c r="C132" s="72" t="s">
        <v>140</v>
      </c>
      <c r="D132" s="74" t="s">
        <v>8</v>
      </c>
      <c r="E132" s="14" t="s">
        <v>215</v>
      </c>
      <c r="F132" s="23" t="s">
        <v>337</v>
      </c>
      <c r="G132" s="31" t="s">
        <v>255</v>
      </c>
      <c r="H132" s="31"/>
      <c r="I132" s="32" t="s">
        <v>256</v>
      </c>
      <c r="J132" s="14" t="str" cm="1">
        <f t="array" ref="J132">PackBinary16_HighRegHex(F132:F133)</f>
        <v>03</v>
      </c>
      <c r="K132" s="14" t="str" cm="1">
        <f t="array" ref="K132">PackBinary16_LowRegHex(F132:F133)</f>
        <v>FF</v>
      </c>
      <c r="L132" s="23" t="s">
        <v>323</v>
      </c>
      <c r="M132" s="23" t="s">
        <v>325</v>
      </c>
      <c r="N132" s="11"/>
    </row>
    <row r="133" spans="1:19" ht="18" customHeight="1" x14ac:dyDescent="0.25">
      <c r="A133" s="64"/>
      <c r="B133" s="63"/>
      <c r="C133" s="72"/>
      <c r="D133" s="63"/>
      <c r="E133" s="14" t="s">
        <v>181</v>
      </c>
      <c r="F133" s="23" t="s">
        <v>303</v>
      </c>
      <c r="G133" s="31">
        <v>0</v>
      </c>
      <c r="H133" s="31"/>
      <c r="I133" s="31" t="s">
        <v>18</v>
      </c>
      <c r="J133" s="14"/>
      <c r="K133" s="14"/>
      <c r="L133" s="23" t="s">
        <v>303</v>
      </c>
      <c r="M133" s="14"/>
      <c r="N133" s="11"/>
    </row>
    <row r="134" spans="1:19" ht="18" customHeight="1" x14ac:dyDescent="0.25">
      <c r="A134" s="15"/>
      <c r="B134" s="15"/>
      <c r="C134" s="15"/>
      <c r="D134" s="15"/>
      <c r="E134" s="15"/>
      <c r="F134" s="22"/>
      <c r="G134" s="15"/>
      <c r="H134" s="15"/>
      <c r="I134" s="15"/>
      <c r="J134" s="15"/>
      <c r="K134" s="15"/>
      <c r="L134" s="15"/>
      <c r="M134" s="15"/>
      <c r="N134" s="11"/>
    </row>
    <row r="135" spans="1:19" ht="30" x14ac:dyDescent="0.25">
      <c r="A135" s="69">
        <v>25</v>
      </c>
      <c r="B135" s="70" t="str">
        <f>DEC2HEX(A135, 2)</f>
        <v>19</v>
      </c>
      <c r="C135" s="73" t="s">
        <v>141</v>
      </c>
      <c r="D135" s="75" t="s">
        <v>8</v>
      </c>
      <c r="E135" s="14" t="s">
        <v>215</v>
      </c>
      <c r="F135" s="23" t="s">
        <v>337</v>
      </c>
      <c r="G135" s="44" t="s">
        <v>255</v>
      </c>
      <c r="H135" s="44"/>
      <c r="I135" s="46" t="s">
        <v>257</v>
      </c>
      <c r="J135" s="14" t="str" cm="1">
        <f t="array" ref="J135">PackBinary16_HighRegHex(F135:F136)</f>
        <v>03</v>
      </c>
      <c r="K135" s="14" t="str" cm="1">
        <f t="array" ref="K135">PackBinary16_LowRegHex(F135:F136)</f>
        <v>FF</v>
      </c>
      <c r="L135" s="23" t="s">
        <v>323</v>
      </c>
      <c r="M135" s="23" t="s">
        <v>325</v>
      </c>
      <c r="N135" s="11"/>
    </row>
    <row r="136" spans="1:19" ht="15" x14ac:dyDescent="0.25">
      <c r="A136" s="69"/>
      <c r="B136" s="63"/>
      <c r="C136" s="73"/>
      <c r="D136" s="63"/>
      <c r="E136" s="14" t="s">
        <v>181</v>
      </c>
      <c r="F136" s="23" t="s">
        <v>303</v>
      </c>
      <c r="G136" s="44">
        <v>0</v>
      </c>
      <c r="H136" s="44"/>
      <c r="I136" s="44" t="s">
        <v>18</v>
      </c>
      <c r="J136" s="14"/>
      <c r="K136" s="14"/>
      <c r="L136" s="23" t="s">
        <v>303</v>
      </c>
      <c r="M136" s="14"/>
      <c r="N136" s="11"/>
    </row>
    <row r="137" spans="1:19" ht="18" customHeight="1" x14ac:dyDescent="0.25">
      <c r="A137" s="15"/>
      <c r="B137" s="15"/>
      <c r="C137" s="15"/>
      <c r="D137" s="15"/>
      <c r="E137" s="15"/>
      <c r="F137" s="22"/>
      <c r="G137" s="15"/>
      <c r="H137" s="15"/>
      <c r="I137" s="15"/>
      <c r="J137" s="15"/>
      <c r="K137" s="15"/>
      <c r="L137" s="15"/>
      <c r="M137" s="15"/>
      <c r="N137" s="11"/>
    </row>
    <row r="138" spans="1:19" ht="30" x14ac:dyDescent="0.25">
      <c r="A138" s="64">
        <v>26</v>
      </c>
      <c r="B138" s="61" t="str">
        <f>DEC2HEX(A138, 2)</f>
        <v>1A</v>
      </c>
      <c r="C138" s="72" t="s">
        <v>142</v>
      </c>
      <c r="D138" s="74" t="s">
        <v>8</v>
      </c>
      <c r="E138" s="14" t="s">
        <v>215</v>
      </c>
      <c r="F138" s="23" t="s">
        <v>337</v>
      </c>
      <c r="G138" s="31" t="s">
        <v>255</v>
      </c>
      <c r="H138" s="31"/>
      <c r="I138" s="32" t="s">
        <v>258</v>
      </c>
      <c r="J138" s="14" t="str" cm="1">
        <f t="array" ref="J138">PackBinary16_HighRegHex(F138:F139)</f>
        <v>03</v>
      </c>
      <c r="K138" s="14" t="str" cm="1">
        <f t="array" ref="K138">PackBinary16_LowRegHex(F138:F139)</f>
        <v>FF</v>
      </c>
      <c r="L138" s="23" t="s">
        <v>323</v>
      </c>
      <c r="M138" s="23" t="s">
        <v>325</v>
      </c>
      <c r="N138" s="11"/>
    </row>
    <row r="139" spans="1:19" ht="15" x14ac:dyDescent="0.25">
      <c r="A139" s="64"/>
      <c r="B139" s="63"/>
      <c r="C139" s="72"/>
      <c r="D139" s="63"/>
      <c r="E139" s="14" t="s">
        <v>181</v>
      </c>
      <c r="F139" s="23" t="s">
        <v>303</v>
      </c>
      <c r="G139" s="31">
        <v>0</v>
      </c>
      <c r="H139" s="31"/>
      <c r="I139" s="31" t="s">
        <v>18</v>
      </c>
      <c r="J139" s="14"/>
      <c r="K139" s="14"/>
      <c r="L139" s="23" t="s">
        <v>303</v>
      </c>
      <c r="M139" s="14"/>
      <c r="N139" s="11"/>
    </row>
    <row r="140" spans="1:19" ht="15" x14ac:dyDescent="0.25">
      <c r="A140" s="15"/>
      <c r="B140" s="15"/>
      <c r="C140" s="15"/>
      <c r="D140" s="15"/>
      <c r="E140" s="15"/>
      <c r="F140" s="22"/>
      <c r="G140" s="15"/>
      <c r="H140" s="15"/>
      <c r="I140" s="15"/>
      <c r="J140" s="15"/>
      <c r="K140" s="15"/>
      <c r="L140" s="15"/>
      <c r="M140" s="15"/>
      <c r="N140" s="11"/>
    </row>
    <row r="141" spans="1:19" ht="30" x14ac:dyDescent="0.25">
      <c r="A141" s="69">
        <v>27</v>
      </c>
      <c r="B141" s="70" t="str">
        <f>DEC2HEX(A141, 2)</f>
        <v>1B</v>
      </c>
      <c r="C141" s="73" t="s">
        <v>143</v>
      </c>
      <c r="D141" s="75" t="s">
        <v>8</v>
      </c>
      <c r="E141" s="14" t="s">
        <v>215</v>
      </c>
      <c r="F141" s="23" t="s">
        <v>337</v>
      </c>
      <c r="G141" s="44" t="s">
        <v>255</v>
      </c>
      <c r="H141" s="44"/>
      <c r="I141" s="46" t="s">
        <v>259</v>
      </c>
      <c r="J141" s="14" t="str" cm="1">
        <f t="array" ref="J141">PackBinary16_HighRegHex(F141:F142)</f>
        <v>03</v>
      </c>
      <c r="K141" s="14" t="str" cm="1">
        <f t="array" ref="K141">PackBinary16_LowRegHex(F141:F142)</f>
        <v>FF</v>
      </c>
      <c r="L141" s="23" t="s">
        <v>323</v>
      </c>
      <c r="M141" s="23" t="s">
        <v>325</v>
      </c>
      <c r="N141" s="11"/>
      <c r="S141" s="11" t="s">
        <v>109</v>
      </c>
    </row>
    <row r="142" spans="1:19" ht="18" customHeight="1" x14ac:dyDescent="0.25">
      <c r="A142" s="69"/>
      <c r="B142" s="63"/>
      <c r="C142" s="73"/>
      <c r="D142" s="63"/>
      <c r="E142" s="14" t="s">
        <v>181</v>
      </c>
      <c r="F142" s="23" t="s">
        <v>303</v>
      </c>
      <c r="G142" s="44">
        <v>0</v>
      </c>
      <c r="H142" s="44"/>
      <c r="I142" s="44" t="s">
        <v>18</v>
      </c>
      <c r="J142" s="14"/>
      <c r="K142" s="14"/>
      <c r="L142" s="23" t="s">
        <v>303</v>
      </c>
      <c r="M142" s="14"/>
    </row>
    <row r="143" spans="1:19" ht="18" customHeight="1" x14ac:dyDescent="0.25">
      <c r="A143" s="15"/>
      <c r="B143" s="15"/>
      <c r="C143" s="15"/>
      <c r="D143" s="15"/>
      <c r="E143" s="15"/>
      <c r="F143" s="22"/>
      <c r="G143" s="15"/>
      <c r="H143" s="15"/>
      <c r="I143" s="15"/>
      <c r="J143" s="15"/>
      <c r="K143" s="15"/>
      <c r="L143" s="15"/>
      <c r="M143" s="15"/>
      <c r="N143" s="11"/>
    </row>
    <row r="144" spans="1:19" ht="150" x14ac:dyDescent="0.25">
      <c r="A144" s="64">
        <v>28</v>
      </c>
      <c r="B144" s="61" t="str">
        <f>DEC2HEX(A144, 2)</f>
        <v>1C</v>
      </c>
      <c r="C144" s="72" t="s">
        <v>144</v>
      </c>
      <c r="D144" s="74" t="s">
        <v>8</v>
      </c>
      <c r="E144" s="14" t="s">
        <v>216</v>
      </c>
      <c r="F144" s="23" t="s">
        <v>321</v>
      </c>
      <c r="G144" s="32" t="s">
        <v>260</v>
      </c>
      <c r="H144" s="31"/>
      <c r="I144" s="32" t="s">
        <v>261</v>
      </c>
      <c r="J144" s="14" t="str" cm="1">
        <f t="array" ref="J144">PackBinary16_HighRegHex(F144:F145)</f>
        <v>00</v>
      </c>
      <c r="K144" s="14" t="str" cm="1">
        <f t="array" ref="K144">PackBinary16_LowRegHex(F144:F145)</f>
        <v>FF</v>
      </c>
      <c r="L144" s="23" t="s">
        <v>321</v>
      </c>
      <c r="M144" s="23" t="s">
        <v>345</v>
      </c>
      <c r="N144" s="11"/>
    </row>
    <row r="145" spans="1:14" ht="18" customHeight="1" x14ac:dyDescent="0.25">
      <c r="A145" s="64"/>
      <c r="B145" s="63"/>
      <c r="C145" s="72"/>
      <c r="D145" s="63"/>
      <c r="E145" s="14" t="s">
        <v>217</v>
      </c>
      <c r="F145" s="23" t="s">
        <v>343</v>
      </c>
      <c r="G145" s="31">
        <v>0</v>
      </c>
      <c r="H145" s="31"/>
      <c r="I145" s="31" t="s">
        <v>18</v>
      </c>
      <c r="J145" s="14"/>
      <c r="K145" s="14"/>
      <c r="L145" s="23" t="s">
        <v>343</v>
      </c>
      <c r="M145" s="14"/>
      <c r="N145" s="11"/>
    </row>
    <row r="146" spans="1:14" ht="18" customHeight="1" x14ac:dyDescent="0.25">
      <c r="A146" s="15"/>
      <c r="B146" s="15"/>
      <c r="C146" s="15"/>
      <c r="D146" s="15"/>
      <c r="E146" s="15"/>
      <c r="F146" s="22"/>
      <c r="G146" s="15"/>
      <c r="H146" s="15"/>
      <c r="I146" s="15"/>
      <c r="J146" s="15"/>
      <c r="K146" s="15"/>
      <c r="L146" s="15"/>
      <c r="M146" s="15"/>
      <c r="N146" s="11"/>
    </row>
    <row r="147" spans="1:14" ht="18" customHeight="1" x14ac:dyDescent="0.25">
      <c r="A147" s="14">
        <v>29</v>
      </c>
      <c r="B147" s="14" t="str">
        <f t="shared" ref="B147:B172" si="0">"0x"&amp;DEC2HEX(A147, 2)</f>
        <v>0x1D</v>
      </c>
      <c r="C147" s="14"/>
      <c r="D147" s="14"/>
      <c r="E147" s="14"/>
      <c r="F147" s="23"/>
      <c r="G147" s="14"/>
      <c r="H147" s="14"/>
      <c r="I147" s="14"/>
      <c r="J147" s="14"/>
      <c r="K147" s="14"/>
      <c r="L147" s="14"/>
      <c r="M147" s="14"/>
      <c r="N147" s="11"/>
    </row>
    <row r="148" spans="1:14" ht="18" customHeight="1" x14ac:dyDescent="0.25">
      <c r="A148" s="14">
        <v>30</v>
      </c>
      <c r="B148" s="14" t="str">
        <f t="shared" si="0"/>
        <v>0x1E</v>
      </c>
      <c r="C148" s="14"/>
      <c r="D148" s="14"/>
      <c r="E148" s="14"/>
      <c r="F148" s="23"/>
      <c r="G148" s="14"/>
      <c r="H148" s="14"/>
      <c r="I148" s="14"/>
      <c r="J148" s="14"/>
      <c r="K148" s="14"/>
      <c r="L148" s="14"/>
      <c r="M148" s="14"/>
      <c r="N148" s="11"/>
    </row>
    <row r="149" spans="1:14" ht="18" customHeight="1" x14ac:dyDescent="0.25">
      <c r="A149" s="14">
        <v>31</v>
      </c>
      <c r="B149" s="14" t="str">
        <f t="shared" si="0"/>
        <v>0x1F</v>
      </c>
      <c r="C149" s="14"/>
      <c r="D149" s="14"/>
      <c r="E149" s="14"/>
      <c r="F149" s="23"/>
      <c r="G149" s="14"/>
      <c r="H149" s="14"/>
      <c r="I149" s="14"/>
      <c r="J149" s="14"/>
      <c r="K149" s="14"/>
      <c r="L149" s="14"/>
      <c r="M149" s="14"/>
      <c r="N149" s="11"/>
    </row>
    <row r="150" spans="1:14" ht="18" customHeight="1" x14ac:dyDescent="0.25">
      <c r="A150" s="14">
        <v>32</v>
      </c>
      <c r="B150" s="14" t="str">
        <f t="shared" si="0"/>
        <v>0x20</v>
      </c>
      <c r="C150" s="14"/>
      <c r="D150" s="14"/>
      <c r="E150" s="14"/>
      <c r="F150" s="23"/>
      <c r="G150" s="14"/>
      <c r="H150" s="14"/>
      <c r="I150" s="14"/>
      <c r="J150" s="14"/>
      <c r="K150" s="14"/>
      <c r="L150" s="14"/>
      <c r="M150" s="14"/>
      <c r="N150" s="11"/>
    </row>
    <row r="151" spans="1:14" ht="15" x14ac:dyDescent="0.25">
      <c r="A151" s="14">
        <v>33</v>
      </c>
      <c r="B151" s="14" t="str">
        <f t="shared" si="0"/>
        <v>0x21</v>
      </c>
      <c r="C151" s="14"/>
      <c r="D151" s="14"/>
      <c r="E151" s="14"/>
      <c r="F151" s="23"/>
      <c r="G151" s="14"/>
      <c r="H151" s="14"/>
      <c r="I151" s="14"/>
      <c r="J151" s="14"/>
      <c r="K151" s="14"/>
      <c r="L151" s="14"/>
      <c r="M151" s="14"/>
      <c r="N151" s="11"/>
    </row>
    <row r="152" spans="1:14" ht="18" customHeight="1" x14ac:dyDescent="0.25">
      <c r="A152" s="14">
        <v>34</v>
      </c>
      <c r="B152" s="14" t="str">
        <f t="shared" si="0"/>
        <v>0x22</v>
      </c>
      <c r="C152" s="14"/>
      <c r="D152" s="14"/>
      <c r="E152" s="14"/>
      <c r="F152" s="23"/>
      <c r="G152" s="14"/>
      <c r="H152" s="14"/>
      <c r="I152" s="14"/>
      <c r="J152" s="14"/>
      <c r="K152" s="14"/>
      <c r="L152" s="14"/>
      <c r="M152" s="14"/>
      <c r="N152" s="11"/>
    </row>
    <row r="153" spans="1:14" ht="18" customHeight="1" x14ac:dyDescent="0.25">
      <c r="A153" s="14">
        <v>35</v>
      </c>
      <c r="B153" s="14" t="str">
        <f t="shared" si="0"/>
        <v>0x23</v>
      </c>
      <c r="C153" s="14"/>
      <c r="D153" s="14"/>
      <c r="E153" s="14"/>
      <c r="F153" s="23"/>
      <c r="G153" s="14"/>
      <c r="H153" s="14"/>
      <c r="I153" s="14"/>
      <c r="J153" s="14"/>
      <c r="K153" s="14"/>
      <c r="L153" s="64" t="s">
        <v>127</v>
      </c>
      <c r="M153" s="14"/>
      <c r="N153" s="11"/>
    </row>
    <row r="154" spans="1:14" ht="18" customHeight="1" x14ac:dyDescent="0.25">
      <c r="A154" s="14">
        <v>36</v>
      </c>
      <c r="B154" s="14" t="str">
        <f t="shared" si="0"/>
        <v>0x24</v>
      </c>
      <c r="C154" s="14"/>
      <c r="D154" s="14"/>
      <c r="E154" s="14"/>
      <c r="F154" s="23"/>
      <c r="G154" s="14"/>
      <c r="H154" s="14"/>
      <c r="I154" s="14"/>
      <c r="J154" s="14"/>
      <c r="K154" s="14"/>
      <c r="L154" s="64"/>
      <c r="M154" s="14"/>
      <c r="N154" s="11"/>
    </row>
    <row r="155" spans="1:14" ht="18" customHeight="1" x14ac:dyDescent="0.25">
      <c r="A155" s="14">
        <v>37</v>
      </c>
      <c r="B155" s="14" t="str">
        <f t="shared" si="0"/>
        <v>0x25</v>
      </c>
      <c r="C155" s="14"/>
      <c r="D155" s="14"/>
      <c r="E155" s="14"/>
      <c r="F155" s="23"/>
      <c r="G155" s="14"/>
      <c r="H155" s="14"/>
      <c r="I155" s="14"/>
      <c r="J155" s="14"/>
      <c r="K155" s="14"/>
      <c r="L155" s="64"/>
      <c r="M155" s="14"/>
      <c r="N155" s="11"/>
    </row>
    <row r="156" spans="1:14" ht="18" customHeight="1" x14ac:dyDescent="0.25">
      <c r="A156" s="14">
        <v>38</v>
      </c>
      <c r="B156" s="14" t="str">
        <f t="shared" si="0"/>
        <v>0x26</v>
      </c>
      <c r="C156" s="14"/>
      <c r="D156" s="14"/>
      <c r="E156" s="14"/>
      <c r="F156" s="23"/>
      <c r="G156" s="14"/>
      <c r="H156" s="14"/>
      <c r="I156" s="14"/>
      <c r="J156" s="14"/>
      <c r="K156" s="14"/>
      <c r="L156" s="64"/>
      <c r="M156" s="14"/>
      <c r="N156" s="11"/>
    </row>
    <row r="157" spans="1:14" ht="18" customHeight="1" x14ac:dyDescent="0.25">
      <c r="A157" s="14">
        <v>39</v>
      </c>
      <c r="B157" s="14" t="str">
        <f t="shared" si="0"/>
        <v>0x27</v>
      </c>
      <c r="C157" s="14"/>
      <c r="D157" s="14"/>
      <c r="E157" s="14"/>
      <c r="F157" s="23"/>
      <c r="G157" s="14"/>
      <c r="H157" s="14"/>
      <c r="I157" s="14"/>
      <c r="J157" s="14"/>
      <c r="K157" s="14"/>
      <c r="L157" s="64"/>
      <c r="M157" s="14"/>
      <c r="N157" s="11"/>
    </row>
    <row r="158" spans="1:14" ht="18" customHeight="1" x14ac:dyDescent="0.25">
      <c r="A158" s="14">
        <v>40</v>
      </c>
      <c r="B158" s="14" t="str">
        <f t="shared" si="0"/>
        <v>0x28</v>
      </c>
      <c r="C158" s="14"/>
      <c r="D158" s="14"/>
      <c r="E158" s="14"/>
      <c r="F158" s="23"/>
      <c r="G158" s="14"/>
      <c r="H158" s="14"/>
      <c r="I158" s="14"/>
      <c r="J158" s="14"/>
      <c r="K158" s="14"/>
      <c r="L158" s="64"/>
      <c r="M158" s="14"/>
      <c r="N158" s="11"/>
    </row>
    <row r="159" spans="1:14" ht="18" customHeight="1" x14ac:dyDescent="0.25">
      <c r="A159" s="14">
        <v>41</v>
      </c>
      <c r="B159" s="14" t="str">
        <f t="shared" si="0"/>
        <v>0x29</v>
      </c>
      <c r="C159" s="14"/>
      <c r="D159" s="14"/>
      <c r="E159" s="14"/>
      <c r="F159" s="23"/>
      <c r="G159" s="14"/>
      <c r="H159" s="14"/>
      <c r="I159" s="14"/>
      <c r="J159" s="14"/>
      <c r="K159" s="14"/>
      <c r="L159" s="64"/>
      <c r="M159" s="14"/>
      <c r="N159" s="11"/>
    </row>
    <row r="160" spans="1:14" ht="18" customHeight="1" x14ac:dyDescent="0.25">
      <c r="A160" s="14">
        <v>42</v>
      </c>
      <c r="B160" s="14" t="str">
        <f t="shared" si="0"/>
        <v>0x2A</v>
      </c>
      <c r="C160" s="14"/>
      <c r="D160" s="14"/>
      <c r="E160" s="14"/>
      <c r="F160" s="23"/>
      <c r="G160" s="14"/>
      <c r="H160" s="14"/>
      <c r="I160" s="14"/>
      <c r="J160" s="14"/>
      <c r="K160" s="14"/>
      <c r="L160" s="64"/>
      <c r="M160" s="14"/>
      <c r="N160" s="11"/>
    </row>
    <row r="161" spans="1:14" ht="18" customHeight="1" x14ac:dyDescent="0.25">
      <c r="A161" s="14">
        <v>43</v>
      </c>
      <c r="B161" s="14" t="str">
        <f t="shared" si="0"/>
        <v>0x2B</v>
      </c>
      <c r="C161" s="14"/>
      <c r="D161" s="14"/>
      <c r="E161" s="14"/>
      <c r="F161" s="23"/>
      <c r="G161" s="14"/>
      <c r="H161" s="14"/>
      <c r="I161" s="14"/>
      <c r="J161" s="14"/>
      <c r="K161" s="14"/>
      <c r="L161" s="64"/>
      <c r="M161" s="14"/>
      <c r="N161" s="11"/>
    </row>
    <row r="162" spans="1:14" ht="18" customHeight="1" x14ac:dyDescent="0.25">
      <c r="A162" s="14">
        <v>44</v>
      </c>
      <c r="B162" s="14" t="str">
        <f t="shared" si="0"/>
        <v>0x2C</v>
      </c>
      <c r="C162" s="14"/>
      <c r="D162" s="14"/>
      <c r="E162" s="14"/>
      <c r="F162" s="23"/>
      <c r="G162" s="14"/>
      <c r="H162" s="14"/>
      <c r="I162" s="14"/>
      <c r="J162" s="14"/>
      <c r="K162" s="14"/>
      <c r="L162" s="64"/>
      <c r="M162" s="14"/>
      <c r="N162" s="11"/>
    </row>
    <row r="163" spans="1:14" ht="18" customHeight="1" x14ac:dyDescent="0.25">
      <c r="A163" s="14">
        <v>45</v>
      </c>
      <c r="B163" s="14" t="str">
        <f t="shared" si="0"/>
        <v>0x2D</v>
      </c>
      <c r="C163" s="14"/>
      <c r="D163" s="14"/>
      <c r="E163" s="14"/>
      <c r="F163" s="23"/>
      <c r="G163" s="14"/>
      <c r="H163" s="14"/>
      <c r="I163" s="14"/>
      <c r="J163" s="14"/>
      <c r="K163" s="14"/>
      <c r="L163" s="14"/>
      <c r="M163" s="14"/>
      <c r="N163" s="11"/>
    </row>
    <row r="164" spans="1:14" ht="18" customHeight="1" x14ac:dyDescent="0.25">
      <c r="A164" s="14">
        <v>46</v>
      </c>
      <c r="B164" s="14" t="str">
        <f t="shared" si="0"/>
        <v>0x2E</v>
      </c>
      <c r="C164" s="14"/>
      <c r="D164" s="14"/>
      <c r="E164" s="14"/>
      <c r="F164" s="23"/>
      <c r="G164" s="14"/>
      <c r="H164" s="14"/>
      <c r="I164" s="14"/>
      <c r="J164" s="14"/>
      <c r="K164" s="14"/>
      <c r="L164" s="14"/>
      <c r="M164" s="14"/>
      <c r="N164" s="11"/>
    </row>
    <row r="165" spans="1:14" ht="18" customHeight="1" x14ac:dyDescent="0.25">
      <c r="A165" s="14">
        <v>47</v>
      </c>
      <c r="B165" s="14" t="str">
        <f t="shared" si="0"/>
        <v>0x2F</v>
      </c>
      <c r="C165" s="14"/>
      <c r="D165" s="14"/>
      <c r="E165" s="14"/>
      <c r="F165" s="23"/>
      <c r="G165" s="14"/>
      <c r="H165" s="14"/>
      <c r="I165" s="14"/>
      <c r="J165" s="14"/>
      <c r="K165" s="14"/>
      <c r="L165" s="14"/>
      <c r="M165" s="14"/>
      <c r="N165" s="11"/>
    </row>
    <row r="166" spans="1:14" ht="18" customHeight="1" x14ac:dyDescent="0.25">
      <c r="A166" s="14">
        <v>48</v>
      </c>
      <c r="B166" s="14" t="str">
        <f t="shared" si="0"/>
        <v>0x30</v>
      </c>
      <c r="C166" s="14"/>
      <c r="D166" s="14"/>
      <c r="E166" s="14"/>
      <c r="F166" s="23"/>
      <c r="G166" s="14"/>
      <c r="H166" s="14"/>
      <c r="I166" s="14"/>
      <c r="J166" s="14"/>
      <c r="K166" s="14"/>
      <c r="L166" s="14"/>
      <c r="M166" s="14"/>
      <c r="N166" s="11"/>
    </row>
    <row r="167" spans="1:14" ht="18" customHeight="1" x14ac:dyDescent="0.25">
      <c r="A167" s="14">
        <v>49</v>
      </c>
      <c r="B167" s="14" t="str">
        <f t="shared" si="0"/>
        <v>0x31</v>
      </c>
      <c r="C167" s="14"/>
      <c r="D167" s="14"/>
      <c r="E167" s="14"/>
      <c r="F167" s="23"/>
      <c r="G167" s="14"/>
      <c r="H167" s="14"/>
      <c r="I167" s="14"/>
      <c r="J167" s="14"/>
      <c r="K167" s="14"/>
      <c r="L167" s="14"/>
      <c r="M167" s="14"/>
      <c r="N167" s="11"/>
    </row>
    <row r="168" spans="1:14" ht="18" customHeight="1" x14ac:dyDescent="0.25">
      <c r="A168" s="14">
        <v>50</v>
      </c>
      <c r="B168" s="14" t="str">
        <f t="shared" si="0"/>
        <v>0x32</v>
      </c>
      <c r="C168" s="14"/>
      <c r="D168" s="14"/>
      <c r="E168" s="14"/>
      <c r="F168" s="23"/>
      <c r="G168" s="14"/>
      <c r="H168" s="14"/>
      <c r="I168" s="14"/>
      <c r="J168" s="14"/>
      <c r="K168" s="14"/>
      <c r="L168" s="14"/>
      <c r="M168" s="14"/>
      <c r="N168" s="11"/>
    </row>
    <row r="169" spans="1:14" ht="18" customHeight="1" x14ac:dyDescent="0.25">
      <c r="A169" s="14">
        <v>51</v>
      </c>
      <c r="B169" s="14" t="str">
        <f t="shared" si="0"/>
        <v>0x33</v>
      </c>
      <c r="C169" s="14"/>
      <c r="D169" s="14"/>
      <c r="E169" s="14"/>
      <c r="F169" s="23"/>
      <c r="G169" s="14"/>
      <c r="H169" s="14"/>
      <c r="I169" s="14"/>
      <c r="J169" s="14"/>
      <c r="K169" s="14"/>
      <c r="L169" s="14"/>
      <c r="M169" s="14"/>
      <c r="N169" s="11"/>
    </row>
    <row r="170" spans="1:14" ht="18" customHeight="1" x14ac:dyDescent="0.25">
      <c r="A170" s="14">
        <v>52</v>
      </c>
      <c r="B170" s="14" t="str">
        <f t="shared" si="0"/>
        <v>0x34</v>
      </c>
      <c r="C170" s="14"/>
      <c r="D170" s="14"/>
      <c r="E170" s="14"/>
      <c r="F170" s="23"/>
      <c r="G170" s="14"/>
      <c r="H170" s="14"/>
      <c r="I170" s="14"/>
      <c r="J170" s="14"/>
      <c r="K170" s="14"/>
      <c r="L170" s="14"/>
      <c r="M170" s="14"/>
      <c r="N170" s="11"/>
    </row>
    <row r="171" spans="1:14" ht="18" customHeight="1" x14ac:dyDescent="0.25">
      <c r="A171" s="14">
        <v>53</v>
      </c>
      <c r="B171" s="14" t="str">
        <f t="shared" si="0"/>
        <v>0x35</v>
      </c>
      <c r="C171" s="14"/>
      <c r="D171" s="14"/>
      <c r="E171" s="14"/>
      <c r="F171" s="23"/>
      <c r="G171" s="14"/>
      <c r="H171" s="14"/>
      <c r="I171" s="14"/>
      <c r="J171" s="14"/>
      <c r="K171" s="14"/>
      <c r="L171" s="14"/>
      <c r="M171" s="14"/>
      <c r="N171" s="11"/>
    </row>
    <row r="172" spans="1:14" ht="18" customHeight="1" x14ac:dyDescent="0.25">
      <c r="A172" s="14">
        <v>54</v>
      </c>
      <c r="B172" s="14" t="str">
        <f t="shared" si="0"/>
        <v>0x36</v>
      </c>
      <c r="C172" s="26"/>
      <c r="D172" s="14"/>
      <c r="E172" s="14"/>
      <c r="F172" s="23"/>
      <c r="G172" s="14"/>
      <c r="H172" s="14"/>
      <c r="I172" s="14"/>
      <c r="J172" s="14"/>
      <c r="K172" s="14"/>
      <c r="L172" s="14"/>
      <c r="M172" s="14"/>
      <c r="N172" s="11"/>
    </row>
    <row r="173" spans="1:14" ht="18" customHeight="1" x14ac:dyDescent="0.25">
      <c r="A173" s="15"/>
      <c r="B173" s="15"/>
      <c r="C173" s="16"/>
      <c r="D173" s="15"/>
      <c r="E173" s="15"/>
      <c r="F173" s="22"/>
      <c r="G173" s="15"/>
      <c r="H173" s="15"/>
      <c r="I173" s="15"/>
      <c r="J173" s="15"/>
      <c r="K173" s="15"/>
      <c r="L173" s="15"/>
      <c r="M173" s="15"/>
      <c r="N173" s="11"/>
    </row>
    <row r="174" spans="1:14" ht="18" customHeight="1" x14ac:dyDescent="0.25">
      <c r="A174" s="69">
        <v>55</v>
      </c>
      <c r="B174" s="70" t="str">
        <f>DEC2HEX(A174, 2)</f>
        <v>37</v>
      </c>
      <c r="C174" s="69" t="s">
        <v>90</v>
      </c>
      <c r="D174" s="70" t="s">
        <v>301</v>
      </c>
      <c r="E174" s="14" t="s">
        <v>64</v>
      </c>
      <c r="F174" s="23" t="s">
        <v>146</v>
      </c>
      <c r="G174" s="43" t="s">
        <v>91</v>
      </c>
      <c r="H174" s="43" t="s">
        <v>10</v>
      </c>
      <c r="I174" s="43" t="s">
        <v>92</v>
      </c>
      <c r="J174" s="14" t="str" cm="1">
        <f t="array" ref="J174">PackBinary16_HighRegHex(F174:F176)</f>
        <v>07</v>
      </c>
      <c r="K174" s="14" t="str" cm="1">
        <f t="array" ref="K174">PackBinary16_LowRegHex(F174:F176)</f>
        <v>FE</v>
      </c>
      <c r="L174" s="23" t="s">
        <v>146</v>
      </c>
      <c r="M174" s="14"/>
      <c r="N174" s="11"/>
    </row>
    <row r="175" spans="1:14" ht="18" customHeight="1" x14ac:dyDescent="0.25">
      <c r="A175" s="69"/>
      <c r="B175" s="62"/>
      <c r="C175" s="69"/>
      <c r="D175" s="62"/>
      <c r="E175" s="14" t="s">
        <v>218</v>
      </c>
      <c r="F175" s="23" t="s">
        <v>337</v>
      </c>
      <c r="G175" s="43" t="s">
        <v>93</v>
      </c>
      <c r="H175" s="43" t="s">
        <v>10</v>
      </c>
      <c r="I175" s="43" t="s">
        <v>94</v>
      </c>
      <c r="J175" s="14"/>
      <c r="K175" s="14"/>
      <c r="L175" s="23" t="s">
        <v>346</v>
      </c>
      <c r="M175" s="14"/>
      <c r="N175" s="11"/>
    </row>
    <row r="176" spans="1:14" ht="18" customHeight="1" x14ac:dyDescent="0.25">
      <c r="A176" s="69"/>
      <c r="B176" s="63"/>
      <c r="C176" s="69"/>
      <c r="D176" s="63"/>
      <c r="E176" s="14" t="s">
        <v>181</v>
      </c>
      <c r="F176" s="23" t="s">
        <v>332</v>
      </c>
      <c r="G176" s="43" t="s">
        <v>95</v>
      </c>
      <c r="H176" s="43" t="s">
        <v>10</v>
      </c>
      <c r="I176" s="43" t="s">
        <v>96</v>
      </c>
      <c r="J176" s="14"/>
      <c r="K176" s="14"/>
      <c r="L176" s="23" t="s">
        <v>332</v>
      </c>
      <c r="M176" s="14"/>
      <c r="N176" s="11"/>
    </row>
    <row r="177" spans="1:14" ht="18" customHeight="1" x14ac:dyDescent="0.25">
      <c r="A177" s="15"/>
      <c r="B177" s="15"/>
      <c r="C177" s="15"/>
      <c r="D177" s="15"/>
      <c r="E177" s="15"/>
      <c r="F177" s="22"/>
      <c r="G177" s="15"/>
      <c r="H177" s="15"/>
      <c r="I177" s="15"/>
      <c r="J177" s="15"/>
      <c r="K177" s="15"/>
      <c r="L177" s="15"/>
      <c r="M177" s="15"/>
      <c r="N177" s="11"/>
    </row>
    <row r="178" spans="1:14" ht="18" customHeight="1" x14ac:dyDescent="0.25">
      <c r="A178" s="64">
        <v>56</v>
      </c>
      <c r="B178" s="61" t="str">
        <f>DEC2HEX(A178, 2)</f>
        <v>38</v>
      </c>
      <c r="C178" s="64" t="s">
        <v>194</v>
      </c>
      <c r="D178" s="61" t="s">
        <v>301</v>
      </c>
      <c r="E178" s="14" t="s">
        <v>197</v>
      </c>
      <c r="F178" s="23" t="s">
        <v>147</v>
      </c>
      <c r="G178" s="14" t="s">
        <v>262</v>
      </c>
      <c r="H178" s="31" t="s">
        <v>20</v>
      </c>
      <c r="I178" s="14" t="s">
        <v>263</v>
      </c>
      <c r="J178" s="14" t="str" cm="1">
        <f t="array" ref="J178">PackBinary16_HighRegHex(F178:F185)</f>
        <v>FF</v>
      </c>
      <c r="K178" s="14" t="str" cm="1">
        <f t="array" ref="K178">PackBinary16_LowRegHex(F178:F185)</f>
        <v>FF</v>
      </c>
      <c r="L178" s="23" t="s">
        <v>147</v>
      </c>
      <c r="M178" s="14"/>
      <c r="N178" s="11"/>
    </row>
    <row r="179" spans="1:14" ht="18" customHeight="1" x14ac:dyDescent="0.25">
      <c r="A179" s="64"/>
      <c r="B179" s="62"/>
      <c r="C179" s="64"/>
      <c r="D179" s="62"/>
      <c r="E179" s="14" t="s">
        <v>198</v>
      </c>
      <c r="F179" s="23" t="s">
        <v>147</v>
      </c>
      <c r="G179" s="14" t="s">
        <v>264</v>
      </c>
      <c r="H179" s="31" t="s">
        <v>20</v>
      </c>
      <c r="I179" s="14" t="s">
        <v>265</v>
      </c>
      <c r="J179" s="14"/>
      <c r="K179" s="14"/>
      <c r="L179" s="23" t="s">
        <v>147</v>
      </c>
      <c r="M179" s="14"/>
      <c r="N179" s="11"/>
    </row>
    <row r="180" spans="1:14" ht="18" customHeight="1" x14ac:dyDescent="0.25">
      <c r="A180" s="64"/>
      <c r="B180" s="62"/>
      <c r="C180" s="64"/>
      <c r="D180" s="62"/>
      <c r="E180" s="14" t="s">
        <v>81</v>
      </c>
      <c r="F180" s="23" t="s">
        <v>318</v>
      </c>
      <c r="G180" s="14" t="s">
        <v>44</v>
      </c>
      <c r="H180" s="31" t="s">
        <v>20</v>
      </c>
      <c r="I180" s="14" t="s">
        <v>266</v>
      </c>
      <c r="J180" s="14"/>
      <c r="K180" s="14"/>
      <c r="L180" s="23" t="s">
        <v>318</v>
      </c>
      <c r="M180" s="14"/>
      <c r="N180" s="11"/>
    </row>
    <row r="181" spans="1:14" ht="18" customHeight="1" x14ac:dyDescent="0.25">
      <c r="A181" s="64"/>
      <c r="B181" s="62"/>
      <c r="C181" s="64"/>
      <c r="D181" s="62"/>
      <c r="E181" s="14" t="s">
        <v>60</v>
      </c>
      <c r="F181" s="23" t="s">
        <v>318</v>
      </c>
      <c r="G181" s="14" t="s">
        <v>44</v>
      </c>
      <c r="H181" s="31" t="s">
        <v>20</v>
      </c>
      <c r="I181" s="14" t="s">
        <v>267</v>
      </c>
      <c r="J181" s="14"/>
      <c r="K181" s="14"/>
      <c r="L181" s="23" t="s">
        <v>318</v>
      </c>
      <c r="M181" s="14"/>
      <c r="N181" s="11"/>
    </row>
    <row r="182" spans="1:14" ht="18" customHeight="1" x14ac:dyDescent="0.25">
      <c r="A182" s="64"/>
      <c r="B182" s="62"/>
      <c r="C182" s="64"/>
      <c r="D182" s="62"/>
      <c r="E182" s="14" t="s">
        <v>200</v>
      </c>
      <c r="F182" s="23" t="s">
        <v>147</v>
      </c>
      <c r="G182" s="14" t="s">
        <v>268</v>
      </c>
      <c r="H182" s="31" t="s">
        <v>20</v>
      </c>
      <c r="I182" s="14" t="s">
        <v>269</v>
      </c>
      <c r="J182" s="14"/>
      <c r="K182" s="14"/>
      <c r="L182" s="23" t="s">
        <v>147</v>
      </c>
      <c r="M182" s="14"/>
      <c r="N182" s="11"/>
    </row>
    <row r="183" spans="1:14" ht="18" customHeight="1" x14ac:dyDescent="0.25">
      <c r="A183" s="64"/>
      <c r="B183" s="62"/>
      <c r="C183" s="64"/>
      <c r="D183" s="62"/>
      <c r="E183" s="14" t="s">
        <v>201</v>
      </c>
      <c r="F183" s="23" t="s">
        <v>147</v>
      </c>
      <c r="G183" s="31" t="s">
        <v>70</v>
      </c>
      <c r="H183" s="31" t="s">
        <v>20</v>
      </c>
      <c r="I183" s="31" t="s">
        <v>71</v>
      </c>
      <c r="J183" s="14"/>
      <c r="K183" s="14"/>
      <c r="L183" s="23" t="s">
        <v>147</v>
      </c>
      <c r="M183" s="14"/>
      <c r="N183" s="11"/>
    </row>
    <row r="184" spans="1:14" ht="18" customHeight="1" x14ac:dyDescent="0.25">
      <c r="A184" s="64"/>
      <c r="B184" s="62"/>
      <c r="C184" s="64"/>
      <c r="D184" s="62"/>
      <c r="E184" s="14" t="s">
        <v>219</v>
      </c>
      <c r="F184" s="23" t="s">
        <v>330</v>
      </c>
      <c r="G184" s="14"/>
      <c r="H184" s="31" t="s">
        <v>20</v>
      </c>
      <c r="I184" s="14" t="s">
        <v>270</v>
      </c>
      <c r="J184" s="14"/>
      <c r="K184" s="14"/>
      <c r="L184" s="23" t="s">
        <v>330</v>
      </c>
      <c r="M184" s="14"/>
      <c r="N184" s="11"/>
    </row>
    <row r="185" spans="1:14" ht="18" customHeight="1" x14ac:dyDescent="0.25">
      <c r="A185" s="64"/>
      <c r="B185" s="63"/>
      <c r="C185" s="64"/>
      <c r="D185" s="63"/>
      <c r="E185" s="14" t="s">
        <v>26</v>
      </c>
      <c r="F185" s="23" t="s">
        <v>318</v>
      </c>
      <c r="G185" s="14" t="s">
        <v>44</v>
      </c>
      <c r="H185" s="31" t="s">
        <v>20</v>
      </c>
      <c r="I185" s="14" t="s">
        <v>271</v>
      </c>
      <c r="J185" s="14"/>
      <c r="K185" s="14"/>
      <c r="L185" s="23" t="s">
        <v>318</v>
      </c>
      <c r="M185" s="14"/>
      <c r="N185" s="11"/>
    </row>
    <row r="186" spans="1:14" ht="18" customHeight="1" x14ac:dyDescent="0.25">
      <c r="A186" s="15"/>
      <c r="B186" s="15"/>
      <c r="C186" s="15"/>
      <c r="D186" s="15"/>
      <c r="E186" s="15"/>
      <c r="F186" s="22"/>
      <c r="G186" s="15"/>
      <c r="H186" s="15"/>
      <c r="I186" s="15"/>
      <c r="J186" s="15"/>
      <c r="K186" s="15"/>
      <c r="L186" s="15"/>
      <c r="M186" s="15"/>
      <c r="N186" s="11"/>
    </row>
    <row r="187" spans="1:14" ht="18" customHeight="1" x14ac:dyDescent="0.25">
      <c r="A187" s="69">
        <v>57</v>
      </c>
      <c r="B187" s="70" t="str">
        <f>DEC2HEX(A187, 2)</f>
        <v>39</v>
      </c>
      <c r="C187" s="69" t="s">
        <v>195</v>
      </c>
      <c r="D187" s="70" t="s">
        <v>301</v>
      </c>
      <c r="E187" s="14" t="s">
        <v>197</v>
      </c>
      <c r="F187" s="23" t="s">
        <v>147</v>
      </c>
      <c r="G187" s="43" t="s">
        <v>272</v>
      </c>
      <c r="H187" s="43" t="s">
        <v>20</v>
      </c>
      <c r="I187" s="43" t="s">
        <v>273</v>
      </c>
      <c r="J187" s="14" t="str" cm="1">
        <f t="array" ref="J187">PackBinary16_HighRegHex(F187:F191)</f>
        <v>00</v>
      </c>
      <c r="K187" s="14" t="str" cm="1">
        <f t="array" ref="K187">PackBinary16_LowRegHex(F187:F191)</f>
        <v>7F</v>
      </c>
      <c r="L187" s="23" t="s">
        <v>147</v>
      </c>
      <c r="M187" s="14"/>
      <c r="N187" s="11"/>
    </row>
    <row r="188" spans="1:14" ht="18" customHeight="1" x14ac:dyDescent="0.25">
      <c r="A188" s="69"/>
      <c r="B188" s="62"/>
      <c r="C188" s="69"/>
      <c r="D188" s="62"/>
      <c r="E188" s="14" t="s">
        <v>198</v>
      </c>
      <c r="F188" s="23" t="s">
        <v>147</v>
      </c>
      <c r="G188" s="43" t="s">
        <v>274</v>
      </c>
      <c r="H188" s="43" t="s">
        <v>20</v>
      </c>
      <c r="I188" s="43" t="s">
        <v>275</v>
      </c>
      <c r="J188" s="14"/>
      <c r="K188" s="14"/>
      <c r="L188" s="23" t="s">
        <v>147</v>
      </c>
      <c r="M188" s="14"/>
      <c r="N188" s="11"/>
    </row>
    <row r="189" spans="1:14" ht="18" customHeight="1" x14ac:dyDescent="0.25">
      <c r="A189" s="69"/>
      <c r="B189" s="62"/>
      <c r="C189" s="69"/>
      <c r="D189" s="62"/>
      <c r="E189" s="14" t="s">
        <v>81</v>
      </c>
      <c r="F189" s="23" t="s">
        <v>318</v>
      </c>
      <c r="G189" s="33" t="s">
        <v>230</v>
      </c>
      <c r="H189" s="43" t="s">
        <v>20</v>
      </c>
      <c r="I189" s="43" t="s">
        <v>276</v>
      </c>
      <c r="J189" s="14"/>
      <c r="K189" s="14"/>
      <c r="L189" s="23" t="s">
        <v>318</v>
      </c>
      <c r="M189" s="14"/>
      <c r="N189" s="11"/>
    </row>
    <row r="190" spans="1:14" ht="18" customHeight="1" x14ac:dyDescent="0.25">
      <c r="A190" s="69"/>
      <c r="B190" s="62"/>
      <c r="C190" s="69"/>
      <c r="D190" s="62"/>
      <c r="E190" s="14" t="s">
        <v>208</v>
      </c>
      <c r="F190" s="23" t="s">
        <v>147</v>
      </c>
      <c r="G190" s="43" t="s">
        <v>272</v>
      </c>
      <c r="H190" s="43" t="s">
        <v>20</v>
      </c>
      <c r="I190" s="43" t="s">
        <v>277</v>
      </c>
      <c r="J190" s="14"/>
      <c r="K190" s="14"/>
      <c r="L190" s="23" t="s">
        <v>147</v>
      </c>
      <c r="M190" s="14"/>
      <c r="N190" s="11"/>
    </row>
    <row r="191" spans="1:14" ht="18" customHeight="1" x14ac:dyDescent="0.25">
      <c r="A191" s="69"/>
      <c r="B191" s="63"/>
      <c r="C191" s="69"/>
      <c r="D191" s="63"/>
      <c r="E191" s="14" t="s">
        <v>220</v>
      </c>
      <c r="F191" s="23" t="s">
        <v>341</v>
      </c>
      <c r="G191" s="43">
        <v>0</v>
      </c>
      <c r="H191" s="43" t="s">
        <v>10</v>
      </c>
      <c r="I191" s="43" t="s">
        <v>18</v>
      </c>
      <c r="J191" s="14"/>
      <c r="K191" s="14"/>
      <c r="L191" s="23" t="s">
        <v>341</v>
      </c>
      <c r="M191" s="14"/>
      <c r="N191" s="11"/>
    </row>
    <row r="192" spans="1:14" ht="18" customHeight="1" x14ac:dyDescent="0.25">
      <c r="A192" s="15"/>
      <c r="B192" s="15"/>
      <c r="C192" s="15"/>
      <c r="D192" s="15"/>
      <c r="E192" s="15"/>
      <c r="F192" s="22"/>
      <c r="G192" s="15"/>
      <c r="H192" s="15"/>
      <c r="I192" s="15"/>
      <c r="J192" s="15"/>
      <c r="K192" s="15"/>
      <c r="L192" s="15"/>
      <c r="M192" s="15"/>
      <c r="N192" s="11"/>
    </row>
    <row r="193" spans="1:14" ht="18" customHeight="1" x14ac:dyDescent="0.25">
      <c r="A193" s="64">
        <v>58</v>
      </c>
      <c r="B193" s="61" t="str">
        <f>DEC2HEX(A193, 2)</f>
        <v>3A</v>
      </c>
      <c r="C193" s="64" t="s">
        <v>59</v>
      </c>
      <c r="D193" s="61" t="s">
        <v>301</v>
      </c>
      <c r="E193" s="14" t="s">
        <v>197</v>
      </c>
      <c r="F193" s="23" t="s">
        <v>147</v>
      </c>
      <c r="G193" s="14" t="s">
        <v>278</v>
      </c>
      <c r="H193" s="14" t="s">
        <v>20</v>
      </c>
      <c r="I193" s="14" t="s">
        <v>279</v>
      </c>
      <c r="J193" s="14" t="str" cm="1">
        <f t="array" ref="J193">PackBinary16_HighRegHex(F193:F199)</f>
        <v>03</v>
      </c>
      <c r="K193" s="14" t="str" cm="1">
        <f t="array" ref="K193">PackBinary16_LowRegHex(F193:F199)</f>
        <v>FF</v>
      </c>
      <c r="L193" s="23" t="s">
        <v>147</v>
      </c>
      <c r="M193" s="14"/>
      <c r="N193" s="11"/>
    </row>
    <row r="194" spans="1:14" ht="18" customHeight="1" x14ac:dyDescent="0.25">
      <c r="A194" s="64"/>
      <c r="B194" s="62"/>
      <c r="C194" s="64"/>
      <c r="D194" s="62"/>
      <c r="E194" s="14" t="s">
        <v>198</v>
      </c>
      <c r="F194" s="23" t="s">
        <v>147</v>
      </c>
      <c r="G194" s="14" t="s">
        <v>280</v>
      </c>
      <c r="H194" s="14" t="s">
        <v>20</v>
      </c>
      <c r="I194" s="14" t="s">
        <v>281</v>
      </c>
      <c r="J194" s="14"/>
      <c r="K194" s="14"/>
      <c r="L194" s="23" t="s">
        <v>147</v>
      </c>
      <c r="M194" s="14"/>
      <c r="N194" s="11"/>
    </row>
    <row r="195" spans="1:14" ht="18" customHeight="1" x14ac:dyDescent="0.25">
      <c r="A195" s="64"/>
      <c r="B195" s="62"/>
      <c r="C195" s="64"/>
      <c r="D195" s="62"/>
      <c r="E195" s="14" t="s">
        <v>81</v>
      </c>
      <c r="F195" s="23" t="s">
        <v>318</v>
      </c>
      <c r="G195" s="14" t="s">
        <v>282</v>
      </c>
      <c r="H195" s="14" t="s">
        <v>20</v>
      </c>
      <c r="I195" s="14" t="s">
        <v>283</v>
      </c>
      <c r="J195" s="14"/>
      <c r="K195" s="14"/>
      <c r="L195" s="23" t="s">
        <v>318</v>
      </c>
      <c r="M195" s="14"/>
      <c r="N195" s="11"/>
    </row>
    <row r="196" spans="1:14" ht="18" customHeight="1" x14ac:dyDescent="0.25">
      <c r="A196" s="64"/>
      <c r="B196" s="62"/>
      <c r="C196" s="64"/>
      <c r="D196" s="62"/>
      <c r="E196" s="14" t="s">
        <v>208</v>
      </c>
      <c r="F196" s="23" t="s">
        <v>147</v>
      </c>
      <c r="G196" s="14" t="s">
        <v>284</v>
      </c>
      <c r="H196" s="14" t="s">
        <v>20</v>
      </c>
      <c r="I196" s="14" t="s">
        <v>285</v>
      </c>
      <c r="J196" s="14"/>
      <c r="K196" s="14"/>
      <c r="L196" s="23" t="s">
        <v>147</v>
      </c>
      <c r="M196" s="14"/>
      <c r="N196" s="11"/>
    </row>
    <row r="197" spans="1:14" ht="18" customHeight="1" x14ac:dyDescent="0.25">
      <c r="A197" s="64"/>
      <c r="B197" s="62"/>
      <c r="C197" s="64"/>
      <c r="D197" s="62"/>
      <c r="E197" s="14" t="s">
        <v>49</v>
      </c>
      <c r="F197" s="23" t="s">
        <v>318</v>
      </c>
      <c r="G197" s="14" t="s">
        <v>44</v>
      </c>
      <c r="H197" s="14" t="s">
        <v>20</v>
      </c>
      <c r="I197" s="14" t="s">
        <v>61</v>
      </c>
      <c r="J197" s="14"/>
      <c r="K197" s="14"/>
      <c r="L197" s="23" t="s">
        <v>318</v>
      </c>
      <c r="M197" s="14"/>
      <c r="N197" s="11"/>
    </row>
    <row r="198" spans="1:14" ht="18" customHeight="1" x14ac:dyDescent="0.25">
      <c r="A198" s="64"/>
      <c r="B198" s="62"/>
      <c r="C198" s="64"/>
      <c r="D198" s="62"/>
      <c r="E198" s="14" t="s">
        <v>201</v>
      </c>
      <c r="F198" s="23" t="s">
        <v>147</v>
      </c>
      <c r="G198" s="14" t="s">
        <v>62</v>
      </c>
      <c r="H198" s="14" t="s">
        <v>20</v>
      </c>
      <c r="I198" s="14" t="s">
        <v>286</v>
      </c>
      <c r="J198" s="14"/>
      <c r="K198" s="14"/>
      <c r="L198" s="23" t="s">
        <v>147</v>
      </c>
      <c r="M198" s="14"/>
      <c r="N198" s="11"/>
    </row>
    <row r="199" spans="1:14" ht="18" customHeight="1" x14ac:dyDescent="0.25">
      <c r="A199" s="64"/>
      <c r="B199" s="63"/>
      <c r="C199" s="64"/>
      <c r="D199" s="63"/>
      <c r="E199" s="14" t="s">
        <v>181</v>
      </c>
      <c r="F199" s="23" t="s">
        <v>303</v>
      </c>
      <c r="G199" s="14">
        <v>0</v>
      </c>
      <c r="H199" s="14" t="s">
        <v>10</v>
      </c>
      <c r="I199" s="14" t="s">
        <v>18</v>
      </c>
      <c r="J199" s="14"/>
      <c r="K199" s="14"/>
      <c r="L199" s="23" t="s">
        <v>332</v>
      </c>
      <c r="M199" s="14"/>
      <c r="N199" s="11"/>
    </row>
    <row r="200" spans="1:14" ht="18" customHeight="1" x14ac:dyDescent="0.25">
      <c r="A200" s="15"/>
      <c r="B200" s="15"/>
      <c r="C200" s="15"/>
      <c r="D200" s="15"/>
      <c r="E200" s="15"/>
      <c r="F200" s="22"/>
      <c r="G200" s="15"/>
      <c r="H200" s="15"/>
      <c r="I200" s="15"/>
      <c r="J200" s="15"/>
      <c r="K200" s="15"/>
      <c r="L200" s="15"/>
      <c r="M200" s="15"/>
      <c r="N200" s="11"/>
    </row>
    <row r="201" spans="1:14" ht="18" customHeight="1" x14ac:dyDescent="0.25">
      <c r="A201" s="76">
        <v>59</v>
      </c>
      <c r="B201" s="77" t="str">
        <f>DEC2HEX(A201, 2)</f>
        <v>3B</v>
      </c>
      <c r="C201" s="76" t="s">
        <v>196</v>
      </c>
      <c r="D201" s="77" t="s">
        <v>301</v>
      </c>
      <c r="E201" s="78" t="s">
        <v>197</v>
      </c>
      <c r="F201" s="79" t="s">
        <v>147</v>
      </c>
      <c r="G201" s="78" t="s">
        <v>78</v>
      </c>
      <c r="H201" s="78" t="s">
        <v>20</v>
      </c>
      <c r="I201" s="78" t="s">
        <v>287</v>
      </c>
      <c r="J201" s="14" t="str" cm="1">
        <f t="array" ref="J201">PackBinary16_HighRegHex(F201:F209)</f>
        <v>FF</v>
      </c>
      <c r="K201" s="14" t="str" cm="1">
        <f t="array" ref="K201">PackBinary16_LowRegHex(F201:F209)</f>
        <v>FF</v>
      </c>
      <c r="L201" s="23" t="s">
        <v>147</v>
      </c>
      <c r="M201" s="14"/>
      <c r="N201" s="11"/>
    </row>
    <row r="202" spans="1:14" ht="18" customHeight="1" x14ac:dyDescent="0.25">
      <c r="A202" s="76"/>
      <c r="B202" s="80"/>
      <c r="C202" s="76"/>
      <c r="D202" s="80"/>
      <c r="E202" s="78" t="s">
        <v>198</v>
      </c>
      <c r="F202" s="79" t="s">
        <v>147</v>
      </c>
      <c r="G202" s="78" t="s">
        <v>83</v>
      </c>
      <c r="H202" s="78" t="s">
        <v>20</v>
      </c>
      <c r="I202" s="78" t="s">
        <v>288</v>
      </c>
      <c r="J202" s="14"/>
      <c r="K202" s="14"/>
      <c r="L202" s="23" t="s">
        <v>147</v>
      </c>
      <c r="M202" s="14"/>
      <c r="N202" s="11"/>
    </row>
    <row r="203" spans="1:14" ht="18" customHeight="1" x14ac:dyDescent="0.25">
      <c r="A203" s="76"/>
      <c r="B203" s="80"/>
      <c r="C203" s="76"/>
      <c r="D203" s="80"/>
      <c r="E203" s="78" t="s">
        <v>81</v>
      </c>
      <c r="F203" s="79" t="s">
        <v>318</v>
      </c>
      <c r="G203" s="78" t="s">
        <v>230</v>
      </c>
      <c r="H203" s="78" t="s">
        <v>20</v>
      </c>
      <c r="I203" s="78" t="s">
        <v>84</v>
      </c>
      <c r="J203" s="14"/>
      <c r="K203" s="14"/>
      <c r="L203" s="23" t="s">
        <v>318</v>
      </c>
      <c r="M203" s="14"/>
      <c r="N203" s="11"/>
    </row>
    <row r="204" spans="1:14" ht="18" customHeight="1" x14ac:dyDescent="0.25">
      <c r="A204" s="76"/>
      <c r="B204" s="80"/>
      <c r="C204" s="76"/>
      <c r="D204" s="80"/>
      <c r="E204" s="78" t="s">
        <v>60</v>
      </c>
      <c r="F204" s="79" t="s">
        <v>318</v>
      </c>
      <c r="G204" s="78" t="s">
        <v>230</v>
      </c>
      <c r="H204" s="78" t="s">
        <v>20</v>
      </c>
      <c r="I204" s="78" t="s">
        <v>85</v>
      </c>
      <c r="J204" s="14"/>
      <c r="K204" s="14"/>
      <c r="L204" s="23" t="s">
        <v>318</v>
      </c>
      <c r="M204" s="14"/>
      <c r="N204" s="11"/>
    </row>
    <row r="205" spans="1:14" ht="18" customHeight="1" x14ac:dyDescent="0.25">
      <c r="A205" s="76"/>
      <c r="B205" s="80"/>
      <c r="C205" s="76"/>
      <c r="D205" s="80"/>
      <c r="E205" s="78" t="s">
        <v>221</v>
      </c>
      <c r="F205" s="79" t="s">
        <v>162</v>
      </c>
      <c r="G205" s="78" t="s">
        <v>86</v>
      </c>
      <c r="H205" s="78" t="s">
        <v>20</v>
      </c>
      <c r="I205" s="78" t="s">
        <v>87</v>
      </c>
      <c r="J205" s="14"/>
      <c r="K205" s="14"/>
      <c r="L205" s="23" t="s">
        <v>147</v>
      </c>
      <c r="M205" s="14"/>
      <c r="N205" s="11"/>
    </row>
    <row r="206" spans="1:14" ht="18" customHeight="1" x14ac:dyDescent="0.25">
      <c r="A206" s="76"/>
      <c r="B206" s="80"/>
      <c r="C206" s="76"/>
      <c r="D206" s="80"/>
      <c r="E206" s="78" t="s">
        <v>157</v>
      </c>
      <c r="F206" s="79" t="s">
        <v>147</v>
      </c>
      <c r="G206" s="78" t="s">
        <v>88</v>
      </c>
      <c r="H206" s="78" t="s">
        <v>20</v>
      </c>
      <c r="I206" s="78" t="s">
        <v>89</v>
      </c>
      <c r="J206" s="14"/>
      <c r="K206" s="14"/>
      <c r="L206" s="23" t="s">
        <v>147</v>
      </c>
      <c r="M206" s="14"/>
      <c r="N206" s="11"/>
    </row>
    <row r="207" spans="1:14" ht="18" customHeight="1" x14ac:dyDescent="0.25">
      <c r="A207" s="76"/>
      <c r="B207" s="80"/>
      <c r="C207" s="76"/>
      <c r="D207" s="80"/>
      <c r="E207" s="78" t="s">
        <v>171</v>
      </c>
      <c r="F207" s="79" t="s">
        <v>147</v>
      </c>
      <c r="G207" s="78" t="s">
        <v>289</v>
      </c>
      <c r="H207" s="78" t="s">
        <v>20</v>
      </c>
      <c r="I207" s="78" t="s">
        <v>290</v>
      </c>
      <c r="J207" s="14"/>
      <c r="K207" s="14"/>
      <c r="L207" s="23" t="s">
        <v>147</v>
      </c>
      <c r="M207" s="14"/>
      <c r="N207" s="11"/>
    </row>
    <row r="208" spans="1:14" ht="18" customHeight="1" x14ac:dyDescent="0.25">
      <c r="A208" s="76"/>
      <c r="B208" s="80"/>
      <c r="C208" s="76"/>
      <c r="D208" s="80"/>
      <c r="E208" s="78" t="s">
        <v>23</v>
      </c>
      <c r="F208" s="79" t="s">
        <v>318</v>
      </c>
      <c r="G208" s="78" t="s">
        <v>291</v>
      </c>
      <c r="H208" s="78" t="s">
        <v>20</v>
      </c>
      <c r="I208" s="78" t="s">
        <v>292</v>
      </c>
      <c r="J208" s="14"/>
      <c r="K208" s="14"/>
      <c r="L208" s="53" t="s">
        <v>318</v>
      </c>
      <c r="M208" s="14"/>
      <c r="N208" s="11"/>
    </row>
    <row r="209" spans="1:14" ht="18" customHeight="1" x14ac:dyDescent="0.25">
      <c r="A209" s="76"/>
      <c r="B209" s="81"/>
      <c r="C209" s="76"/>
      <c r="D209" s="81"/>
      <c r="E209" s="78" t="s">
        <v>159</v>
      </c>
      <c r="F209" s="79" t="s">
        <v>147</v>
      </c>
      <c r="G209" s="78" t="s">
        <v>293</v>
      </c>
      <c r="H209" s="78" t="s">
        <v>20</v>
      </c>
      <c r="I209" s="78" t="s">
        <v>294</v>
      </c>
      <c r="J209" s="14"/>
      <c r="K209" s="14"/>
      <c r="L209" s="23" t="s">
        <v>330</v>
      </c>
      <c r="M209" s="14"/>
      <c r="N209" s="11"/>
    </row>
    <row r="210" spans="1:14" ht="18" customHeight="1" x14ac:dyDescent="0.25">
      <c r="A210" s="15"/>
      <c r="B210" s="15"/>
      <c r="C210" s="15"/>
      <c r="D210" s="15"/>
      <c r="E210" s="15"/>
      <c r="F210" s="22"/>
      <c r="G210" s="15"/>
      <c r="H210" s="15"/>
      <c r="I210" s="15"/>
      <c r="J210" s="15"/>
      <c r="K210" s="15"/>
      <c r="L210" s="15"/>
      <c r="M210" s="15"/>
      <c r="N210" s="11"/>
    </row>
    <row r="211" spans="1:14" ht="18" customHeight="1" x14ac:dyDescent="0.25">
      <c r="A211" s="64">
        <v>60</v>
      </c>
      <c r="B211" s="61" t="str">
        <f>DEC2HEX(A211, 2)</f>
        <v>3C</v>
      </c>
      <c r="C211" s="64" t="s">
        <v>37</v>
      </c>
      <c r="D211" s="61" t="s">
        <v>301</v>
      </c>
      <c r="E211" s="14" t="s">
        <v>64</v>
      </c>
      <c r="F211" s="23" t="s">
        <v>318</v>
      </c>
      <c r="G211" s="14" t="s">
        <v>295</v>
      </c>
      <c r="H211" s="14" t="s">
        <v>20</v>
      </c>
      <c r="I211" s="14" t="s">
        <v>296</v>
      </c>
      <c r="J211" s="14" t="str" cm="1">
        <f t="array" ref="J211">PackBinary16_HighRegHex(F211:F215)</f>
        <v>00</v>
      </c>
      <c r="K211" s="14" t="str" cm="1">
        <f t="array" ref="K211">PackBinary16_LowRegHex(F211:F215)</f>
        <v>7F</v>
      </c>
      <c r="L211" s="23" t="s">
        <v>318</v>
      </c>
      <c r="M211" s="14"/>
      <c r="N211" s="11"/>
    </row>
    <row r="212" spans="1:14" ht="18" customHeight="1" x14ac:dyDescent="0.25">
      <c r="A212" s="64"/>
      <c r="B212" s="62"/>
      <c r="C212" s="64"/>
      <c r="D212" s="62"/>
      <c r="E212" s="14" t="s">
        <v>206</v>
      </c>
      <c r="F212" s="23" t="s">
        <v>147</v>
      </c>
      <c r="G212" s="64" t="s">
        <v>34</v>
      </c>
      <c r="H212" s="14" t="s">
        <v>20</v>
      </c>
      <c r="I212" s="14" t="s">
        <v>297</v>
      </c>
      <c r="J212" s="14"/>
      <c r="K212" s="14"/>
      <c r="L212" s="23" t="s">
        <v>147</v>
      </c>
      <c r="M212" s="14"/>
      <c r="N212" s="11"/>
    </row>
    <row r="213" spans="1:14" ht="18" customHeight="1" x14ac:dyDescent="0.25">
      <c r="A213" s="64"/>
      <c r="B213" s="62"/>
      <c r="C213" s="64"/>
      <c r="D213" s="62"/>
      <c r="E213" s="14" t="s">
        <v>207</v>
      </c>
      <c r="F213" s="23" t="s">
        <v>147</v>
      </c>
      <c r="G213" s="64"/>
      <c r="H213" s="14" t="s">
        <v>20</v>
      </c>
      <c r="I213" s="14" t="s">
        <v>298</v>
      </c>
      <c r="J213" s="14"/>
      <c r="K213" s="14"/>
      <c r="L213" s="23" t="s">
        <v>147</v>
      </c>
      <c r="M213" s="14"/>
      <c r="N213" s="11"/>
    </row>
    <row r="214" spans="1:14" ht="18" customHeight="1" x14ac:dyDescent="0.25">
      <c r="A214" s="64"/>
      <c r="B214" s="62"/>
      <c r="C214" s="64"/>
      <c r="D214" s="62"/>
      <c r="E214" s="14" t="s">
        <v>208</v>
      </c>
      <c r="F214" s="23" t="s">
        <v>147</v>
      </c>
      <c r="G214" s="64"/>
      <c r="H214" s="14" t="s">
        <v>20</v>
      </c>
      <c r="I214" s="14" t="s">
        <v>299</v>
      </c>
      <c r="J214" s="14"/>
      <c r="K214" s="14"/>
      <c r="L214" s="23" t="s">
        <v>147</v>
      </c>
      <c r="M214" s="14"/>
      <c r="N214" s="11"/>
    </row>
    <row r="215" spans="1:14" ht="18" customHeight="1" x14ac:dyDescent="0.25">
      <c r="A215" s="64"/>
      <c r="B215" s="63"/>
      <c r="C215" s="64"/>
      <c r="D215" s="63"/>
      <c r="E215" s="14" t="s">
        <v>220</v>
      </c>
      <c r="F215" s="23" t="s">
        <v>341</v>
      </c>
      <c r="G215" s="14">
        <v>0</v>
      </c>
      <c r="H215" s="14" t="s">
        <v>10</v>
      </c>
      <c r="I215" s="14" t="s">
        <v>18</v>
      </c>
      <c r="J215" s="14"/>
      <c r="K215" s="14"/>
      <c r="L215" s="23" t="s">
        <v>341</v>
      </c>
      <c r="M215" s="14"/>
      <c r="N215" s="11"/>
    </row>
    <row r="216" spans="1:14" ht="18" customHeight="1" x14ac:dyDescent="0.25">
      <c r="A216" s="15"/>
      <c r="B216" s="15"/>
      <c r="C216" s="15"/>
      <c r="D216" s="15"/>
      <c r="E216" s="15"/>
      <c r="F216" s="22"/>
      <c r="G216" s="15"/>
      <c r="H216" s="15"/>
      <c r="I216" s="15"/>
      <c r="J216" s="15"/>
      <c r="K216" s="15"/>
      <c r="L216" s="15"/>
      <c r="M216" s="15"/>
      <c r="N216" s="11"/>
    </row>
    <row r="217" spans="1:14" ht="18" customHeight="1" x14ac:dyDescent="0.25">
      <c r="A217" s="14">
        <v>61</v>
      </c>
      <c r="B217" s="14" t="str">
        <f t="shared" ref="B217:B219" si="1">"0x"&amp;DEC2HEX(A217, 2)</f>
        <v>0x3D</v>
      </c>
      <c r="C217" s="14"/>
      <c r="D217" s="14"/>
      <c r="E217" s="14"/>
      <c r="F217" s="23"/>
      <c r="G217" s="14"/>
      <c r="H217" s="14"/>
      <c r="I217" s="17"/>
      <c r="J217" s="14"/>
      <c r="K217" s="14"/>
      <c r="L217" s="14"/>
      <c r="M217" s="14"/>
      <c r="N217" s="11"/>
    </row>
    <row r="218" spans="1:14" ht="18" customHeight="1" x14ac:dyDescent="0.25">
      <c r="A218" s="14">
        <v>62</v>
      </c>
      <c r="B218" s="14" t="str">
        <f t="shared" si="1"/>
        <v>0x3E</v>
      </c>
      <c r="C218" s="14"/>
      <c r="D218" s="14"/>
      <c r="E218" s="14"/>
      <c r="F218" s="23"/>
      <c r="G218" s="14"/>
      <c r="H218" s="14"/>
      <c r="I218" s="17"/>
      <c r="J218" s="14"/>
      <c r="K218" s="14"/>
      <c r="L218" s="14"/>
      <c r="M218" s="14"/>
      <c r="N218" s="11"/>
    </row>
    <row r="219" spans="1:14" ht="18" customHeight="1" x14ac:dyDescent="0.25">
      <c r="A219" s="14">
        <v>63</v>
      </c>
      <c r="B219" s="14" t="str">
        <f t="shared" si="1"/>
        <v>0x3F</v>
      </c>
      <c r="C219" s="14"/>
      <c r="D219" s="14"/>
      <c r="E219" s="14"/>
      <c r="F219" s="23"/>
      <c r="G219" s="14"/>
      <c r="H219" s="14"/>
      <c r="I219" s="17"/>
      <c r="J219" s="14"/>
      <c r="K219" s="14"/>
      <c r="L219" s="14"/>
      <c r="M219" s="14"/>
      <c r="N219" s="11"/>
    </row>
    <row r="220" spans="1:14" ht="18" customHeight="1" x14ac:dyDescent="0.25">
      <c r="A220" s="1"/>
      <c r="B220" s="1"/>
      <c r="C220" s="7"/>
      <c r="D220" s="7"/>
      <c r="E220" s="7"/>
      <c r="F220" s="51"/>
      <c r="G220" s="7"/>
      <c r="H220" s="7"/>
      <c r="I220" s="7"/>
      <c r="J220" s="3"/>
      <c r="K220" s="3"/>
      <c r="L220" s="3"/>
      <c r="M220" s="3"/>
    </row>
    <row r="221" spans="1:14" ht="18" customHeight="1" x14ac:dyDescent="0.25">
      <c r="A221" s="1"/>
      <c r="B221" s="1"/>
      <c r="C221" s="2"/>
      <c r="D221" s="2"/>
      <c r="E221" s="2"/>
      <c r="F221" s="52"/>
      <c r="G221" s="2"/>
      <c r="H221" s="2"/>
      <c r="I221" s="2"/>
    </row>
    <row r="222" spans="1:14" ht="18" customHeight="1" x14ac:dyDescent="0.25">
      <c r="A222" s="7"/>
      <c r="B222" s="7"/>
      <c r="C222" s="2"/>
      <c r="D222" s="2"/>
      <c r="E222" s="2"/>
      <c r="F222" s="52"/>
      <c r="G222" s="2"/>
      <c r="H222" s="2"/>
      <c r="I222" s="2"/>
    </row>
    <row r="223" spans="1:14" ht="18" customHeight="1" x14ac:dyDescent="0.25">
      <c r="A223" s="9"/>
      <c r="B223" s="9"/>
      <c r="C223" s="2"/>
      <c r="D223" s="2"/>
      <c r="E223" s="2"/>
      <c r="F223" s="52"/>
      <c r="G223" s="2"/>
      <c r="H223" s="2"/>
      <c r="I223" s="2"/>
    </row>
    <row r="224" spans="1:14" ht="18" customHeight="1" x14ac:dyDescent="0.25">
      <c r="A224" s="1"/>
      <c r="B224" s="1"/>
      <c r="C224" s="2"/>
      <c r="D224" s="2"/>
      <c r="E224" s="2"/>
      <c r="F224" s="52"/>
      <c r="G224" s="2"/>
      <c r="H224" s="2"/>
      <c r="I224" s="2"/>
    </row>
    <row r="225" spans="1:9" ht="18" customHeight="1" x14ac:dyDescent="0.25">
      <c r="A225" s="7"/>
      <c r="B225" s="7"/>
      <c r="C225" s="2"/>
      <c r="D225" s="2"/>
      <c r="E225" s="2"/>
      <c r="F225" s="52"/>
      <c r="G225" s="2"/>
      <c r="H225" s="2"/>
      <c r="I225" s="2"/>
    </row>
    <row r="226" spans="1:9" ht="18" customHeight="1" x14ac:dyDescent="0.25">
      <c r="C226" s="2"/>
      <c r="D226" s="2"/>
      <c r="E226" s="2"/>
      <c r="F226" s="52"/>
      <c r="G226" s="2"/>
      <c r="H226" s="2"/>
      <c r="I226" s="2"/>
    </row>
    <row r="227" spans="1:9" ht="18" customHeight="1" x14ac:dyDescent="0.25">
      <c r="C227" s="2"/>
      <c r="D227" s="2"/>
      <c r="E227" s="2"/>
      <c r="F227" s="52"/>
      <c r="G227" s="2"/>
      <c r="H227" s="2"/>
      <c r="I227" s="2"/>
    </row>
    <row r="228" spans="1:9" ht="18" customHeight="1" x14ac:dyDescent="0.25">
      <c r="C228" s="2"/>
      <c r="D228" s="2"/>
      <c r="E228" s="2"/>
      <c r="F228" s="52"/>
      <c r="G228" s="2"/>
      <c r="H228" s="2"/>
      <c r="I228" s="2"/>
    </row>
    <row r="229" spans="1:9" ht="18" customHeight="1" x14ac:dyDescent="0.25">
      <c r="C229" s="2"/>
      <c r="D229" s="2"/>
      <c r="E229" s="2"/>
      <c r="F229" s="52"/>
      <c r="G229" s="2"/>
      <c r="H229" s="2"/>
      <c r="I229" s="2"/>
    </row>
    <row r="230" spans="1:9" ht="18" customHeight="1" x14ac:dyDescent="0.25">
      <c r="C230" s="5"/>
      <c r="D230" s="2"/>
      <c r="E230" s="2"/>
      <c r="F230" s="52"/>
      <c r="G230" s="2"/>
      <c r="H230" s="2"/>
      <c r="I230" s="2"/>
    </row>
    <row r="231" spans="1:9" ht="15" x14ac:dyDescent="0.25">
      <c r="C231" s="2"/>
      <c r="D231" s="2"/>
      <c r="E231" s="2"/>
      <c r="F231" s="52"/>
      <c r="G231" s="2"/>
      <c r="H231" s="2"/>
      <c r="I231" s="2"/>
    </row>
    <row r="232" spans="1:9" ht="18" customHeight="1" x14ac:dyDescent="0.25">
      <c r="C232" s="2"/>
      <c r="D232" s="2"/>
      <c r="E232" s="2"/>
      <c r="F232" s="52"/>
      <c r="G232" s="2"/>
      <c r="H232" s="2"/>
      <c r="I232" s="2"/>
    </row>
    <row r="233" spans="1:9" ht="18" customHeight="1" x14ac:dyDescent="0.25">
      <c r="C233" s="2"/>
      <c r="D233" s="2"/>
      <c r="E233" s="2"/>
      <c r="F233" s="52"/>
      <c r="G233" s="2"/>
      <c r="H233" s="2"/>
      <c r="I233" s="2"/>
    </row>
    <row r="234" spans="1:9" ht="18" customHeight="1" x14ac:dyDescent="0.25">
      <c r="C234" s="2"/>
      <c r="D234" s="2"/>
      <c r="E234" s="2"/>
      <c r="F234" s="52"/>
      <c r="G234" s="2"/>
      <c r="H234" s="2"/>
      <c r="I234" s="2"/>
    </row>
    <row r="235" spans="1:9" ht="18" customHeight="1" x14ac:dyDescent="0.25">
      <c r="C235" s="2"/>
      <c r="D235" s="2"/>
      <c r="E235" s="2"/>
      <c r="F235" s="52"/>
      <c r="G235" s="2"/>
      <c r="H235" s="2"/>
      <c r="I235" s="2"/>
    </row>
    <row r="236" spans="1:9" ht="18" customHeight="1" x14ac:dyDescent="0.25">
      <c r="C236" s="2"/>
      <c r="D236" s="2"/>
      <c r="E236" s="2"/>
      <c r="F236" s="52"/>
      <c r="G236" s="2"/>
      <c r="H236" s="2"/>
      <c r="I236" s="2"/>
    </row>
    <row r="237" spans="1:9" ht="18" customHeight="1" x14ac:dyDescent="0.25">
      <c r="C237" s="2"/>
      <c r="D237" s="2"/>
      <c r="E237" s="2"/>
      <c r="F237" s="52"/>
      <c r="G237" s="2"/>
      <c r="H237" s="2"/>
      <c r="I237" s="2"/>
    </row>
    <row r="238" spans="1:9" ht="18" customHeight="1" x14ac:dyDescent="0.25">
      <c r="C238" s="4"/>
      <c r="D238" s="3"/>
    </row>
    <row r="239" spans="1:9" ht="18" customHeight="1" x14ac:dyDescent="0.25">
      <c r="C239" s="2"/>
      <c r="D239" s="2"/>
      <c r="E239" s="2"/>
      <c r="F239" s="52"/>
      <c r="G239" s="2"/>
      <c r="H239" s="2"/>
      <c r="I239" s="2"/>
    </row>
    <row r="240" spans="1:9" ht="18" customHeight="1" x14ac:dyDescent="0.25">
      <c r="C240" s="2"/>
      <c r="D240" s="2"/>
      <c r="E240" s="2"/>
      <c r="F240" s="52"/>
      <c r="G240" s="2"/>
      <c r="H240" s="2"/>
      <c r="I240" s="2"/>
    </row>
    <row r="241" spans="3:9" ht="18" customHeight="1" x14ac:dyDescent="0.25">
      <c r="C241" s="4"/>
      <c r="D241" s="3"/>
    </row>
    <row r="242" spans="3:9" ht="18" customHeight="1" x14ac:dyDescent="0.25">
      <c r="C242" s="4"/>
      <c r="D242" s="3"/>
    </row>
    <row r="243" spans="3:9" ht="18" customHeight="1" x14ac:dyDescent="0.25">
      <c r="C243" s="4"/>
      <c r="D243" s="3"/>
    </row>
    <row r="244" spans="3:9" ht="18" customHeight="1" x14ac:dyDescent="0.25">
      <c r="C244" s="4"/>
      <c r="D244" s="3"/>
    </row>
    <row r="245" spans="3:9" ht="18" customHeight="1" x14ac:dyDescent="0.25">
      <c r="C245" s="4"/>
      <c r="D245" s="3"/>
    </row>
    <row r="246" spans="3:9" ht="18" customHeight="1" x14ac:dyDescent="0.25">
      <c r="C246" s="2"/>
      <c r="D246" s="2"/>
      <c r="E246" s="2"/>
      <c r="F246" s="52"/>
      <c r="G246" s="2"/>
      <c r="H246" s="2"/>
      <c r="I246" s="2"/>
    </row>
    <row r="247" spans="3:9" ht="18" customHeight="1" x14ac:dyDescent="0.25">
      <c r="C247" s="2"/>
      <c r="D247" s="2"/>
      <c r="E247" s="2"/>
      <c r="F247" s="52"/>
      <c r="G247" s="2"/>
      <c r="H247" s="2"/>
      <c r="I247" s="2"/>
    </row>
    <row r="248" spans="3:9" ht="18" customHeight="1" x14ac:dyDescent="0.25">
      <c r="C248" s="2"/>
      <c r="D248" s="2"/>
      <c r="E248" s="2"/>
      <c r="F248" s="52"/>
      <c r="G248" s="2"/>
      <c r="H248" s="2"/>
      <c r="I248" s="2"/>
    </row>
    <row r="249" spans="3:9" ht="18" customHeight="1" x14ac:dyDescent="0.25">
      <c r="C249" s="2"/>
      <c r="D249" s="2"/>
      <c r="E249" s="2"/>
      <c r="F249" s="52"/>
      <c r="G249" s="2"/>
      <c r="H249" s="2"/>
      <c r="I249" s="2"/>
    </row>
    <row r="250" spans="3:9" ht="18" customHeight="1" x14ac:dyDescent="0.25">
      <c r="C250" s="10"/>
      <c r="D250" s="6"/>
    </row>
    <row r="251" spans="3:9" ht="18" customHeight="1" x14ac:dyDescent="0.25">
      <c r="C251" s="10"/>
      <c r="D251" s="6"/>
    </row>
    <row r="252" spans="3:9" ht="18" customHeight="1" x14ac:dyDescent="0.25">
      <c r="C252" s="2"/>
      <c r="D252" s="2"/>
      <c r="E252" s="2"/>
      <c r="F252" s="52"/>
      <c r="G252" s="2"/>
      <c r="H252" s="2"/>
      <c r="I252" s="2"/>
    </row>
    <row r="253" spans="3:9" ht="18" customHeight="1" x14ac:dyDescent="0.25">
      <c r="C253" s="2"/>
      <c r="D253" s="2"/>
      <c r="E253" s="2"/>
      <c r="F253" s="52"/>
      <c r="G253" s="2"/>
      <c r="H253" s="2"/>
      <c r="I253" s="2"/>
    </row>
    <row r="254" spans="3:9" ht="18" customHeight="1" x14ac:dyDescent="0.25">
      <c r="C254" s="2"/>
      <c r="D254" s="2"/>
      <c r="E254" s="2"/>
      <c r="F254" s="52"/>
      <c r="G254" s="2"/>
      <c r="H254" s="2"/>
      <c r="I254" s="2"/>
    </row>
    <row r="255" spans="3:9" ht="18" customHeight="1" x14ac:dyDescent="0.25">
      <c r="C255" s="2"/>
      <c r="D255" s="2"/>
      <c r="E255" s="2"/>
      <c r="F255" s="52"/>
      <c r="G255" s="2"/>
      <c r="H255" s="2"/>
      <c r="I255" s="2"/>
    </row>
    <row r="256" spans="3:9" ht="18" customHeight="1" x14ac:dyDescent="0.25">
      <c r="C256" s="2"/>
      <c r="D256" s="2"/>
      <c r="E256" s="2"/>
      <c r="F256" s="52"/>
      <c r="G256" s="2"/>
      <c r="H256" s="2"/>
      <c r="I256" s="2"/>
    </row>
    <row r="257" spans="3:9" ht="18" customHeight="1" x14ac:dyDescent="0.25">
      <c r="C257" s="2"/>
      <c r="D257" s="2"/>
      <c r="E257" s="2"/>
      <c r="F257" s="52"/>
      <c r="G257" s="2"/>
      <c r="H257" s="2"/>
      <c r="I257" s="2"/>
    </row>
    <row r="258" spans="3:9" ht="18" customHeight="1" x14ac:dyDescent="0.25">
      <c r="C258" s="2"/>
      <c r="D258" s="2"/>
      <c r="E258" s="2"/>
      <c r="F258" s="52"/>
      <c r="G258" s="2"/>
      <c r="H258" s="2"/>
      <c r="I258" s="2"/>
    </row>
    <row r="259" spans="3:9" ht="18" customHeight="1" x14ac:dyDescent="0.25">
      <c r="G259" s="2"/>
      <c r="H259" s="2"/>
      <c r="I259" s="2"/>
    </row>
    <row r="260" spans="3:9" ht="18" customHeight="1" x14ac:dyDescent="0.25">
      <c r="G260" s="2"/>
      <c r="H260" s="2"/>
      <c r="I260" s="2"/>
    </row>
    <row r="261" spans="3:9" ht="18" customHeight="1" x14ac:dyDescent="0.25">
      <c r="G261" s="2"/>
      <c r="H261" s="2"/>
      <c r="I261" s="2"/>
    </row>
    <row r="264" spans="3:9" ht="18" customHeight="1" x14ac:dyDescent="0.25">
      <c r="G264" s="2"/>
      <c r="H264" s="2"/>
      <c r="I264" s="2"/>
    </row>
    <row r="265" spans="3:9" ht="18" customHeight="1" x14ac:dyDescent="0.25">
      <c r="G265" s="2"/>
      <c r="H265" s="2"/>
      <c r="I265" s="2"/>
    </row>
    <row r="266" spans="3:9" ht="18" customHeight="1" x14ac:dyDescent="0.25">
      <c r="G266" s="2"/>
      <c r="H266" s="2"/>
      <c r="I266" s="2"/>
    </row>
    <row r="267" spans="3:9" ht="18" customHeight="1" x14ac:dyDescent="0.25">
      <c r="G267" s="2"/>
      <c r="H267" s="2"/>
      <c r="I267" s="2"/>
    </row>
    <row r="268" spans="3:9" ht="18" customHeight="1" x14ac:dyDescent="0.25">
      <c r="G268" s="2"/>
      <c r="H268" s="2"/>
      <c r="I268" s="2"/>
    </row>
    <row r="269" spans="3:9" ht="18" customHeight="1" x14ac:dyDescent="0.25">
      <c r="G269" s="2"/>
      <c r="H269" s="2"/>
      <c r="I269" s="2"/>
    </row>
    <row r="270" spans="3:9" ht="18" customHeight="1" x14ac:dyDescent="0.25">
      <c r="G270" s="2"/>
      <c r="H270" s="2"/>
      <c r="I270" s="2"/>
    </row>
    <row r="271" spans="3:9" ht="18" customHeight="1" x14ac:dyDescent="0.25">
      <c r="G271" s="2"/>
      <c r="H271" s="2"/>
      <c r="I271" s="2"/>
    </row>
    <row r="272" spans="3:9" ht="18" customHeight="1" x14ac:dyDescent="0.25">
      <c r="G272" s="2"/>
      <c r="H272" s="2"/>
      <c r="I272" s="2"/>
    </row>
  </sheetData>
  <mergeCells count="166">
    <mergeCell ref="B187:B191"/>
    <mergeCell ref="B193:B199"/>
    <mergeCell ref="B201:B209"/>
    <mergeCell ref="B211:B215"/>
    <mergeCell ref="B126:B127"/>
    <mergeCell ref="B129:B130"/>
    <mergeCell ref="B132:B133"/>
    <mergeCell ref="B135:B136"/>
    <mergeCell ref="B138:B139"/>
    <mergeCell ref="B141:B142"/>
    <mergeCell ref="B144:B145"/>
    <mergeCell ref="B174:B176"/>
    <mergeCell ref="B178:B185"/>
    <mergeCell ref="D144:D145"/>
    <mergeCell ref="D174:D176"/>
    <mergeCell ref="D178:D185"/>
    <mergeCell ref="D187:D191"/>
    <mergeCell ref="D193:D199"/>
    <mergeCell ref="D201:D209"/>
    <mergeCell ref="D211:D215"/>
    <mergeCell ref="B12:B13"/>
    <mergeCell ref="B15:B19"/>
    <mergeCell ref="B21:B23"/>
    <mergeCell ref="B25:B27"/>
    <mergeCell ref="B29:B31"/>
    <mergeCell ref="B33:B36"/>
    <mergeCell ref="B38:B40"/>
    <mergeCell ref="B42:B48"/>
    <mergeCell ref="B50:B57"/>
    <mergeCell ref="B66:B74"/>
    <mergeCell ref="B76:B80"/>
    <mergeCell ref="B82:B84"/>
    <mergeCell ref="B111:B112"/>
    <mergeCell ref="B114:B115"/>
    <mergeCell ref="B117:B118"/>
    <mergeCell ref="B120:B121"/>
    <mergeCell ref="B123:B124"/>
    <mergeCell ref="D15:D19"/>
    <mergeCell ref="D21:D23"/>
    <mergeCell ref="D29:D31"/>
    <mergeCell ref="D25:D27"/>
    <mergeCell ref="D59:D64"/>
    <mergeCell ref="D66:D74"/>
    <mergeCell ref="D76:D80"/>
    <mergeCell ref="D82:D84"/>
    <mergeCell ref="D98:D109"/>
    <mergeCell ref="G98:G108"/>
    <mergeCell ref="G212:G214"/>
    <mergeCell ref="J98:J109"/>
    <mergeCell ref="K98:K109"/>
    <mergeCell ref="B98:B109"/>
    <mergeCell ref="D86:D96"/>
    <mergeCell ref="A187:A191"/>
    <mergeCell ref="C187:C191"/>
    <mergeCell ref="A193:A199"/>
    <mergeCell ref="C193:C199"/>
    <mergeCell ref="A201:A209"/>
    <mergeCell ref="C201:C209"/>
    <mergeCell ref="A211:A215"/>
    <mergeCell ref="C211:C215"/>
    <mergeCell ref="A174:A176"/>
    <mergeCell ref="C174:C176"/>
    <mergeCell ref="A178:A185"/>
    <mergeCell ref="C178:C185"/>
    <mergeCell ref="D111:D112"/>
    <mergeCell ref="D114:D115"/>
    <mergeCell ref="D117:D118"/>
    <mergeCell ref="D120:D121"/>
    <mergeCell ref="D123:D124"/>
    <mergeCell ref="D126:D127"/>
    <mergeCell ref="D38:D40"/>
    <mergeCell ref="D42:D48"/>
    <mergeCell ref="D50:D57"/>
    <mergeCell ref="A138:A139"/>
    <mergeCell ref="C138:C139"/>
    <mergeCell ref="A141:A142"/>
    <mergeCell ref="C141:C142"/>
    <mergeCell ref="A144:A145"/>
    <mergeCell ref="C144:C145"/>
    <mergeCell ref="A123:A124"/>
    <mergeCell ref="C123:C124"/>
    <mergeCell ref="A126:A127"/>
    <mergeCell ref="C126:C127"/>
    <mergeCell ref="A129:A130"/>
    <mergeCell ref="C129:C130"/>
    <mergeCell ref="A132:A133"/>
    <mergeCell ref="C132:C133"/>
    <mergeCell ref="A135:A136"/>
    <mergeCell ref="C135:C136"/>
    <mergeCell ref="D129:D130"/>
    <mergeCell ref="D132:D133"/>
    <mergeCell ref="D135:D136"/>
    <mergeCell ref="D138:D139"/>
    <mergeCell ref="D141:D142"/>
    <mergeCell ref="L153:L162"/>
    <mergeCell ref="A50:A57"/>
    <mergeCell ref="C50:C57"/>
    <mergeCell ref="A59:A64"/>
    <mergeCell ref="B59:B64"/>
    <mergeCell ref="C59:C64"/>
    <mergeCell ref="A66:A74"/>
    <mergeCell ref="C66:C74"/>
    <mergeCell ref="A76:A80"/>
    <mergeCell ref="C76:C80"/>
    <mergeCell ref="A82:A84"/>
    <mergeCell ref="A86:A96"/>
    <mergeCell ref="B86:B96"/>
    <mergeCell ref="C86:C96"/>
    <mergeCell ref="A98:A109"/>
    <mergeCell ref="C98:C109"/>
    <mergeCell ref="A111:A112"/>
    <mergeCell ref="C111:C112"/>
    <mergeCell ref="A114:A115"/>
    <mergeCell ref="C114:C115"/>
    <mergeCell ref="A117:A118"/>
    <mergeCell ref="C117:C118"/>
    <mergeCell ref="A120:A121"/>
    <mergeCell ref="C120:C121"/>
    <mergeCell ref="J76:J80"/>
    <mergeCell ref="K76:K80"/>
    <mergeCell ref="A21:A23"/>
    <mergeCell ref="A25:A27"/>
    <mergeCell ref="J15:J19"/>
    <mergeCell ref="J21:J23"/>
    <mergeCell ref="C25:C27"/>
    <mergeCell ref="J12:J13"/>
    <mergeCell ref="K12:K13"/>
    <mergeCell ref="A12:A13"/>
    <mergeCell ref="C12:C13"/>
    <mergeCell ref="A15:A19"/>
    <mergeCell ref="C15:C19"/>
    <mergeCell ref="K15:K19"/>
    <mergeCell ref="J29:J30"/>
    <mergeCell ref="K29:K30"/>
    <mergeCell ref="K21:K23"/>
    <mergeCell ref="J50:J57"/>
    <mergeCell ref="K50:K57"/>
    <mergeCell ref="C21:C23"/>
    <mergeCell ref="C33:C36"/>
    <mergeCell ref="D33:D36"/>
    <mergeCell ref="C38:C40"/>
    <mergeCell ref="C42:C48"/>
    <mergeCell ref="M66:M74"/>
    <mergeCell ref="J86:J96"/>
    <mergeCell ref="K86:K96"/>
    <mergeCell ref="M50:M57"/>
    <mergeCell ref="A29:A31"/>
    <mergeCell ref="J25:J27"/>
    <mergeCell ref="K25:K27"/>
    <mergeCell ref="J33:J36"/>
    <mergeCell ref="K33:K36"/>
    <mergeCell ref="J42:J48"/>
    <mergeCell ref="K42:K48"/>
    <mergeCell ref="M42:M48"/>
    <mergeCell ref="C29:C31"/>
    <mergeCell ref="A33:A36"/>
    <mergeCell ref="A38:A40"/>
    <mergeCell ref="A42:A48"/>
    <mergeCell ref="C82:C84"/>
    <mergeCell ref="G42:G47"/>
    <mergeCell ref="J59:J64"/>
    <mergeCell ref="K59:K64"/>
    <mergeCell ref="J66:J74"/>
    <mergeCell ref="K66:K74"/>
    <mergeCell ref="J82:J84"/>
    <mergeCell ref="K82:K84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6" r:id="rId4" name="Null_Register">
          <controlPr defaultSize="0" autoLine="0" autoPict="0" r:id="rId5">
            <anchor moveWithCells="1">
              <from>
                <xdr:col>14</xdr:col>
                <xdr:colOff>9525</xdr:colOff>
                <xdr:row>6</xdr:row>
                <xdr:rowOff>1038225</xdr:rowOff>
              </from>
              <to>
                <xdr:col>16</xdr:col>
                <xdr:colOff>28575</xdr:colOff>
                <xdr:row>7</xdr:row>
                <xdr:rowOff>371475</xdr:rowOff>
              </to>
            </anchor>
          </controlPr>
        </control>
      </mc:Choice>
      <mc:Fallback>
        <control shapeId="1036" r:id="rId4" name="Null_Register"/>
      </mc:Fallback>
    </mc:AlternateContent>
    <mc:AlternateContent xmlns:mc="http://schemas.openxmlformats.org/markup-compatibility/2006">
      <mc:Choice Requires="x14">
        <control shapeId="1035" r:id="rId6" name="Test_Pattern">
          <controlPr defaultSize="0" autoLine="0" autoPict="0" r:id="rId7">
            <anchor moveWithCells="1">
              <from>
                <xdr:col>14</xdr:col>
                <xdr:colOff>19050</xdr:colOff>
                <xdr:row>8</xdr:row>
                <xdr:rowOff>219075</xdr:rowOff>
              </from>
              <to>
                <xdr:col>16</xdr:col>
                <xdr:colOff>47625</xdr:colOff>
                <xdr:row>10</xdr:row>
                <xdr:rowOff>0</xdr:rowOff>
              </to>
            </anchor>
          </controlPr>
        </control>
      </mc:Choice>
      <mc:Fallback>
        <control shapeId="1035" r:id="rId6" name="Test_Pattern"/>
      </mc:Fallback>
    </mc:AlternateContent>
    <mc:AlternateContent xmlns:mc="http://schemas.openxmlformats.org/markup-compatibility/2006">
      <mc:Choice Requires="x14">
        <control shapeId="1034" r:id="rId8" name="CP_Target">
          <controlPr defaultSize="0" autoLine="0" r:id="rId9">
            <anchor moveWithCells="1">
              <from>
                <xdr:col>14</xdr:col>
                <xdr:colOff>38100</xdr:colOff>
                <xdr:row>20</xdr:row>
                <xdr:rowOff>552450</xdr:rowOff>
              </from>
              <to>
                <xdr:col>16</xdr:col>
                <xdr:colOff>95250</xdr:colOff>
                <xdr:row>20</xdr:row>
                <xdr:rowOff>1504950</xdr:rowOff>
              </to>
            </anchor>
          </controlPr>
        </control>
      </mc:Choice>
      <mc:Fallback>
        <control shapeId="1034" r:id="rId8" name="CP_Target"/>
      </mc:Fallback>
    </mc:AlternateContent>
    <mc:AlternateContent xmlns:mc="http://schemas.openxmlformats.org/markup-compatibility/2006">
      <mc:Choice Requires="x14">
        <control shapeId="1033" r:id="rId10" name="CV_Control">
          <controlPr defaultSize="0" autoLine="0" autoPict="0" r:id="rId11">
            <anchor moveWithCells="1">
              <from>
                <xdr:col>14</xdr:col>
                <xdr:colOff>19050</xdr:colOff>
                <xdr:row>10</xdr:row>
                <xdr:rowOff>219075</xdr:rowOff>
              </from>
              <to>
                <xdr:col>16</xdr:col>
                <xdr:colOff>47625</xdr:colOff>
                <xdr:row>11</xdr:row>
                <xdr:rowOff>904875</xdr:rowOff>
              </to>
            </anchor>
          </controlPr>
        </control>
      </mc:Choice>
      <mc:Fallback>
        <control shapeId="1033" r:id="rId10" name="CV_Control"/>
      </mc:Fallback>
    </mc:AlternateContent>
    <mc:AlternateContent xmlns:mc="http://schemas.openxmlformats.org/markup-compatibility/2006">
      <mc:Choice Requires="x14">
        <control shapeId="1032" r:id="rId12" name="Connect">
          <controlPr defaultSize="0" autoLine="0" r:id="rId13">
            <anchor moveWithCells="1">
              <from>
                <xdr:col>13</xdr:col>
                <xdr:colOff>542925</xdr:colOff>
                <xdr:row>2</xdr:row>
                <xdr:rowOff>0</xdr:rowOff>
              </from>
              <to>
                <xdr:col>16</xdr:col>
                <xdr:colOff>38100</xdr:colOff>
                <xdr:row>4</xdr:row>
                <xdr:rowOff>209550</xdr:rowOff>
              </to>
            </anchor>
          </controlPr>
        </control>
      </mc:Choice>
      <mc:Fallback>
        <control shapeId="1032" r:id="rId12" name="Connect"/>
      </mc:Fallback>
    </mc:AlternateContent>
    <mc:AlternateContent xmlns:mc="http://schemas.openxmlformats.org/markup-compatibility/2006">
      <mc:Choice Requires="x14">
        <control shapeId="1025" r:id="rId14" name="CC_Control">
          <controlPr defaultSize="0" autoLine="0" r:id="rId15">
            <anchor moveWithCells="1">
              <from>
                <xdr:col>14</xdr:col>
                <xdr:colOff>0</xdr:colOff>
                <xdr:row>14</xdr:row>
                <xdr:rowOff>523875</xdr:rowOff>
              </from>
              <to>
                <xdr:col>16</xdr:col>
                <xdr:colOff>57150</xdr:colOff>
                <xdr:row>14</xdr:row>
                <xdr:rowOff>1476375</xdr:rowOff>
              </to>
            </anchor>
          </controlPr>
        </control>
      </mc:Choice>
      <mc:Fallback>
        <control shapeId="1025" r:id="rId14" name="CC_Control"/>
      </mc:Fallback>
    </mc:AlternateContent>
    <mc:AlternateContent xmlns:mc="http://schemas.openxmlformats.org/markup-compatibility/2006">
      <mc:Choice Requires="x14">
        <control shapeId="1029" r:id="rId16" name="Vout_OVP">
          <controlPr defaultSize="0" autoLine="0" r:id="rId17">
            <anchor moveWithCells="1">
              <from>
                <xdr:col>14</xdr:col>
                <xdr:colOff>19050</xdr:colOff>
                <xdr:row>24</xdr:row>
                <xdr:rowOff>57150</xdr:rowOff>
              </from>
              <to>
                <xdr:col>16</xdr:col>
                <xdr:colOff>76200</xdr:colOff>
                <xdr:row>26</xdr:row>
                <xdr:rowOff>104775</xdr:rowOff>
              </to>
            </anchor>
          </controlPr>
        </control>
      </mc:Choice>
      <mc:Fallback>
        <control shapeId="1029" r:id="rId16" name="Vout_OVP"/>
      </mc:Fallback>
    </mc:AlternateContent>
    <mc:AlternateContent xmlns:mc="http://schemas.openxmlformats.org/markup-compatibility/2006">
      <mc:Choice Requires="x14">
        <control shapeId="1030" r:id="rId18" name="Vfb_OVP">
          <controlPr defaultSize="0" autoLine="0" r:id="rId19">
            <anchor moveWithCells="1">
              <from>
                <xdr:col>14</xdr:col>
                <xdr:colOff>9525</xdr:colOff>
                <xdr:row>28</xdr:row>
                <xdr:rowOff>247650</xdr:rowOff>
              </from>
              <to>
                <xdr:col>16</xdr:col>
                <xdr:colOff>66675</xdr:colOff>
                <xdr:row>28</xdr:row>
                <xdr:rowOff>723900</xdr:rowOff>
              </to>
            </anchor>
          </controlPr>
        </control>
      </mc:Choice>
      <mc:Fallback>
        <control shapeId="1030" r:id="rId18" name="Vfb_OVP"/>
      </mc:Fallback>
    </mc:AlternateContent>
    <mc:AlternateContent xmlns:mc="http://schemas.openxmlformats.org/markup-compatibility/2006">
      <mc:Choice Requires="x14">
        <control shapeId="1037" r:id="rId20" name="VVo_AR">
          <controlPr defaultSize="0" autoLine="0" autoPict="0" r:id="rId21">
            <anchor moveWithCells="1">
              <from>
                <xdr:col>14</xdr:col>
                <xdr:colOff>9525</xdr:colOff>
                <xdr:row>32</xdr:row>
                <xdr:rowOff>57150</xdr:rowOff>
              </from>
              <to>
                <xdr:col>16</xdr:col>
                <xdr:colOff>28575</xdr:colOff>
                <xdr:row>34</xdr:row>
                <xdr:rowOff>0</xdr:rowOff>
              </to>
            </anchor>
          </controlPr>
        </control>
      </mc:Choice>
      <mc:Fallback>
        <control shapeId="1037" r:id="rId20" name="VVo_AR"/>
      </mc:Fallback>
    </mc:AlternateContent>
    <mc:AlternateContent xmlns:mc="http://schemas.openxmlformats.org/markup-compatibility/2006">
      <mc:Choice Requires="x14">
        <control shapeId="1038" r:id="rId22" name="Vfb_AR">
          <controlPr defaultSize="0" autoLine="0" r:id="rId23">
            <anchor moveWithCells="1">
              <from>
                <xdr:col>14</xdr:col>
                <xdr:colOff>19050</xdr:colOff>
                <xdr:row>36</xdr:row>
                <xdr:rowOff>209550</xdr:rowOff>
              </from>
              <to>
                <xdr:col>16</xdr:col>
                <xdr:colOff>76200</xdr:colOff>
                <xdr:row>38</xdr:row>
                <xdr:rowOff>85725</xdr:rowOff>
              </to>
            </anchor>
          </controlPr>
        </control>
      </mc:Choice>
      <mc:Fallback>
        <control shapeId="1038" r:id="rId22" name="Vfb_AR"/>
      </mc:Fallback>
    </mc:AlternateContent>
    <mc:AlternateContent xmlns:mc="http://schemas.openxmlformats.org/markup-compatibility/2006">
      <mc:Choice Requires="x14">
        <control shapeId="1039" r:id="rId24" name="Fault_Response">
          <controlPr defaultSize="0" autoLine="0" r:id="rId25">
            <anchor moveWithCells="1">
              <from>
                <xdr:col>14</xdr:col>
                <xdr:colOff>19050</xdr:colOff>
                <xdr:row>41</xdr:row>
                <xdr:rowOff>209550</xdr:rowOff>
              </from>
              <to>
                <xdr:col>16</xdr:col>
                <xdr:colOff>76200</xdr:colOff>
                <xdr:row>46</xdr:row>
                <xdr:rowOff>114300</xdr:rowOff>
              </to>
            </anchor>
          </controlPr>
        </control>
      </mc:Choice>
      <mc:Fallback>
        <control shapeId="1039" r:id="rId24" name="Fault_Response"/>
      </mc:Fallback>
    </mc:AlternateContent>
    <mc:AlternateContent xmlns:mc="http://schemas.openxmlformats.org/markup-compatibility/2006">
      <mc:Choice Requires="x14">
        <control shapeId="1040" r:id="rId26" name="Fault_Con">
          <controlPr defaultSize="0" autoLine="0" r:id="rId27">
            <anchor moveWithCells="1">
              <from>
                <xdr:col>14</xdr:col>
                <xdr:colOff>38100</xdr:colOff>
                <xdr:row>49</xdr:row>
                <xdr:rowOff>695325</xdr:rowOff>
              </from>
              <to>
                <xdr:col>16</xdr:col>
                <xdr:colOff>95250</xdr:colOff>
                <xdr:row>54</xdr:row>
                <xdr:rowOff>28575</xdr:rowOff>
              </to>
            </anchor>
          </controlPr>
        </control>
      </mc:Choice>
      <mc:Fallback>
        <control shapeId="1040" r:id="rId26" name="Fault_Con"/>
      </mc:Fallback>
    </mc:AlternateContent>
    <mc:AlternateContent xmlns:mc="http://schemas.openxmlformats.org/markup-compatibility/2006">
      <mc:Choice Requires="x14">
        <control shapeId="1041" r:id="rId28" name="Enable_Misc1">
          <controlPr defaultSize="0" autoLine="0" autoPict="0" r:id="rId29">
            <anchor moveWithCells="1">
              <from>
                <xdr:col>14</xdr:col>
                <xdr:colOff>9525</xdr:colOff>
                <xdr:row>60</xdr:row>
                <xdr:rowOff>238125</xdr:rowOff>
              </from>
              <to>
                <xdr:col>16</xdr:col>
                <xdr:colOff>28575</xdr:colOff>
                <xdr:row>60</xdr:row>
                <xdr:rowOff>1381125</xdr:rowOff>
              </to>
            </anchor>
          </controlPr>
        </control>
      </mc:Choice>
      <mc:Fallback>
        <control shapeId="1041" r:id="rId28" name="Enable_Misc1"/>
      </mc:Fallback>
    </mc:AlternateContent>
    <mc:AlternateContent xmlns:mc="http://schemas.openxmlformats.org/markup-compatibility/2006">
      <mc:Choice Requires="x14">
        <control shapeId="1042" r:id="rId30" name="Status_Register">
          <controlPr defaultSize="0" autoLine="0" autoPict="0" r:id="rId31">
            <anchor moveWithCells="1">
              <from>
                <xdr:col>14</xdr:col>
                <xdr:colOff>9525</xdr:colOff>
                <xdr:row>87</xdr:row>
                <xdr:rowOff>28575</xdr:rowOff>
              </from>
              <to>
                <xdr:col>16</xdr:col>
                <xdr:colOff>28575</xdr:colOff>
                <xdr:row>92</xdr:row>
                <xdr:rowOff>19050</xdr:rowOff>
              </to>
            </anchor>
          </controlPr>
        </control>
      </mc:Choice>
      <mc:Fallback>
        <control shapeId="1042" r:id="rId30" name="Status_Register"/>
      </mc:Fallback>
    </mc:AlternateContent>
    <mc:AlternateContent xmlns:mc="http://schemas.openxmlformats.org/markup-compatibility/2006">
      <mc:Choice Requires="x14">
        <control shapeId="1043" r:id="rId32" name="PSU_Restart">
          <controlPr defaultSize="0" autoLine="0" r:id="rId33">
            <anchor moveWithCells="1">
              <from>
                <xdr:col>14</xdr:col>
                <xdr:colOff>9525</xdr:colOff>
                <xdr:row>81</xdr:row>
                <xdr:rowOff>19050</xdr:rowOff>
              </from>
              <to>
                <xdr:col>16</xdr:col>
                <xdr:colOff>66675</xdr:colOff>
                <xdr:row>83</xdr:row>
                <xdr:rowOff>200025</xdr:rowOff>
              </to>
            </anchor>
          </controlPr>
        </control>
      </mc:Choice>
      <mc:Fallback>
        <control shapeId="1043" r:id="rId32" name="PSU_Restart"/>
      </mc:Fallback>
    </mc:AlternateContent>
    <mc:AlternateContent xmlns:mc="http://schemas.openxmlformats.org/markup-compatibility/2006">
      <mc:Choice Requires="x14">
        <control shapeId="1044" r:id="rId34" name="SR_Mode_Control">
          <controlPr defaultSize="0" autoLine="0" r:id="rId35">
            <anchor moveWithCells="1">
              <from>
                <xdr:col>14</xdr:col>
                <xdr:colOff>0</xdr:colOff>
                <xdr:row>75</xdr:row>
                <xdr:rowOff>28575</xdr:rowOff>
              </from>
              <to>
                <xdr:col>16</xdr:col>
                <xdr:colOff>57150</xdr:colOff>
                <xdr:row>79</xdr:row>
                <xdr:rowOff>19050</xdr:rowOff>
              </to>
            </anchor>
          </controlPr>
        </control>
      </mc:Choice>
      <mc:Fallback>
        <control shapeId="1044" r:id="rId34" name="SR_Mode_Control"/>
      </mc:Fallback>
    </mc:AlternateContent>
    <mc:AlternateContent xmlns:mc="http://schemas.openxmlformats.org/markup-compatibility/2006">
      <mc:Choice Requires="x14">
        <control shapeId="1045" r:id="rId36" name="CVCCCP_Control">
          <controlPr defaultSize="0" autoLine="0" autoPict="0" r:id="rId37">
            <anchor moveWithCells="1">
              <from>
                <xdr:col>13</xdr:col>
                <xdr:colOff>590550</xdr:colOff>
                <xdr:row>65</xdr:row>
                <xdr:rowOff>180975</xdr:rowOff>
              </from>
              <to>
                <xdr:col>16</xdr:col>
                <xdr:colOff>9525</xdr:colOff>
                <xdr:row>71</xdr:row>
                <xdr:rowOff>28575</xdr:rowOff>
              </to>
            </anchor>
          </controlPr>
        </control>
      </mc:Choice>
      <mc:Fallback>
        <control shapeId="1045" r:id="rId36" name="CVCCCP_Control"/>
      </mc:Fallback>
    </mc:AlternateContent>
    <mc:AlternateContent xmlns:mc="http://schemas.openxmlformats.org/markup-compatibility/2006">
      <mc:Choice Requires="x14">
        <control shapeId="1046" r:id="rId38" name="Fault_F">
          <controlPr defaultSize="0" autoLine="0" r:id="rId39">
            <anchor moveWithCells="1">
              <from>
                <xdr:col>14</xdr:col>
                <xdr:colOff>9525</xdr:colOff>
                <xdr:row>99</xdr:row>
                <xdr:rowOff>28575</xdr:rowOff>
              </from>
              <to>
                <xdr:col>16</xdr:col>
                <xdr:colOff>66675</xdr:colOff>
                <xdr:row>104</xdr:row>
                <xdr:rowOff>19050</xdr:rowOff>
              </to>
            </anchor>
          </controlPr>
        </control>
      </mc:Choice>
      <mc:Fallback>
        <control shapeId="1046" r:id="rId38" name="Fault_F"/>
      </mc:Fallback>
    </mc:AlternateContent>
    <mc:AlternateContent xmlns:mc="http://schemas.openxmlformats.org/markup-compatibility/2006">
      <mc:Choice Requires="x14">
        <control shapeId="1047" r:id="rId40" name="Vout_Measure">
          <controlPr defaultSize="0" autoLine="0" r:id="rId41">
            <anchor moveWithCells="1">
              <from>
                <xdr:col>14</xdr:col>
                <xdr:colOff>38100</xdr:colOff>
                <xdr:row>110</xdr:row>
                <xdr:rowOff>9525</xdr:rowOff>
              </from>
              <to>
                <xdr:col>16</xdr:col>
                <xdr:colOff>85725</xdr:colOff>
                <xdr:row>111</xdr:row>
                <xdr:rowOff>85725</xdr:rowOff>
              </to>
            </anchor>
          </controlPr>
        </control>
      </mc:Choice>
      <mc:Fallback>
        <control shapeId="1047" r:id="rId40" name="Vout_Measure"/>
      </mc:Fallback>
    </mc:AlternateContent>
    <mc:AlternateContent xmlns:mc="http://schemas.openxmlformats.org/markup-compatibility/2006">
      <mc:Choice Requires="x14">
        <control shapeId="1048" r:id="rId42" name="Filt_Vout_Meas">
          <controlPr defaultSize="0" autoLine="0" r:id="rId43">
            <anchor moveWithCells="1">
              <from>
                <xdr:col>14</xdr:col>
                <xdr:colOff>28575</xdr:colOff>
                <xdr:row>113</xdr:row>
                <xdr:rowOff>19050</xdr:rowOff>
              </from>
              <to>
                <xdr:col>16</xdr:col>
                <xdr:colOff>85725</xdr:colOff>
                <xdr:row>114</xdr:row>
                <xdr:rowOff>9525</xdr:rowOff>
              </to>
            </anchor>
          </controlPr>
        </control>
      </mc:Choice>
      <mc:Fallback>
        <control shapeId="1048" r:id="rId42" name="Filt_Vout_Meas"/>
      </mc:Fallback>
    </mc:AlternateContent>
    <mc:AlternateContent xmlns:mc="http://schemas.openxmlformats.org/markup-compatibility/2006">
      <mc:Choice Requires="x14">
        <control shapeId="1049" r:id="rId44" name="FB_Measurement">
          <controlPr defaultSize="0" autoLine="0" autoPict="0" r:id="rId45">
            <anchor moveWithCells="1">
              <from>
                <xdr:col>14</xdr:col>
                <xdr:colOff>28575</xdr:colOff>
                <xdr:row>115</xdr:row>
                <xdr:rowOff>228600</xdr:rowOff>
              </from>
              <to>
                <xdr:col>16</xdr:col>
                <xdr:colOff>28575</xdr:colOff>
                <xdr:row>117</xdr:row>
                <xdr:rowOff>85725</xdr:rowOff>
              </to>
            </anchor>
          </controlPr>
        </control>
      </mc:Choice>
      <mc:Fallback>
        <control shapeId="1049" r:id="rId44" name="FB_Measurement"/>
      </mc:Fallback>
    </mc:AlternateContent>
    <mc:AlternateContent xmlns:mc="http://schemas.openxmlformats.org/markup-compatibility/2006">
      <mc:Choice Requires="x14">
        <control shapeId="1050" r:id="rId46" name="Filt_FB_Meas">
          <controlPr defaultSize="0" autoLine="0" autoPict="0" r:id="rId47">
            <anchor moveWithCells="1">
              <from>
                <xdr:col>14</xdr:col>
                <xdr:colOff>28575</xdr:colOff>
                <xdr:row>118</xdr:row>
                <xdr:rowOff>209550</xdr:rowOff>
              </from>
              <to>
                <xdr:col>15</xdr:col>
                <xdr:colOff>600075</xdr:colOff>
                <xdr:row>120</xdr:row>
                <xdr:rowOff>85725</xdr:rowOff>
              </to>
            </anchor>
          </controlPr>
        </control>
      </mc:Choice>
      <mc:Fallback>
        <control shapeId="1050" r:id="rId46" name="Filt_FB_Meas"/>
      </mc:Fallback>
    </mc:AlternateContent>
    <mc:AlternateContent xmlns:mc="http://schemas.openxmlformats.org/markup-compatibility/2006">
      <mc:Choice Requires="x14">
        <control shapeId="1051" r:id="rId48" name="IS_Measurement">
          <controlPr defaultSize="0" autoLine="0" autoPict="0" r:id="rId49">
            <anchor moveWithCells="1">
              <from>
                <xdr:col>13</xdr:col>
                <xdr:colOff>600075</xdr:colOff>
                <xdr:row>122</xdr:row>
                <xdr:rowOff>9525</xdr:rowOff>
              </from>
              <to>
                <xdr:col>16</xdr:col>
                <xdr:colOff>19050</xdr:colOff>
                <xdr:row>122</xdr:row>
                <xdr:rowOff>733425</xdr:rowOff>
              </to>
            </anchor>
          </controlPr>
        </control>
      </mc:Choice>
      <mc:Fallback>
        <control shapeId="1051" r:id="rId48" name="IS_Measurement"/>
      </mc:Fallback>
    </mc:AlternateContent>
    <mc:AlternateContent xmlns:mc="http://schemas.openxmlformats.org/markup-compatibility/2006">
      <mc:Choice Requires="x14">
        <control shapeId="1052" r:id="rId50" name="Filt_IS_Meas">
          <controlPr defaultSize="0" autoLine="0" r:id="rId51">
            <anchor moveWithCells="1">
              <from>
                <xdr:col>14</xdr:col>
                <xdr:colOff>9525</xdr:colOff>
                <xdr:row>125</xdr:row>
                <xdr:rowOff>19050</xdr:rowOff>
              </from>
              <to>
                <xdr:col>16</xdr:col>
                <xdr:colOff>66675</xdr:colOff>
                <xdr:row>125</xdr:row>
                <xdr:rowOff>723900</xdr:rowOff>
              </to>
            </anchor>
          </controlPr>
        </control>
      </mc:Choice>
      <mc:Fallback>
        <control shapeId="1052" r:id="rId50" name="Filt_IS_Meas"/>
      </mc:Fallback>
    </mc:AlternateContent>
    <mc:AlternateContent xmlns:mc="http://schemas.openxmlformats.org/markup-compatibility/2006">
      <mc:Choice Requires="x14">
        <control shapeId="1053" r:id="rId52" name="Sec_Die_Temp_Meas">
          <controlPr defaultSize="0" autoLine="0" autoPict="0" r:id="rId53">
            <anchor moveWithCells="1">
              <from>
                <xdr:col>14</xdr:col>
                <xdr:colOff>19050</xdr:colOff>
                <xdr:row>128</xdr:row>
                <xdr:rowOff>19050</xdr:rowOff>
              </from>
              <to>
                <xdr:col>16</xdr:col>
                <xdr:colOff>0</xdr:colOff>
                <xdr:row>128</xdr:row>
                <xdr:rowOff>714375</xdr:rowOff>
              </to>
            </anchor>
          </controlPr>
        </control>
      </mc:Choice>
      <mc:Fallback>
        <control shapeId="1053" r:id="rId52" name="Sec_Die_Temp_Meas"/>
      </mc:Fallback>
    </mc:AlternateContent>
    <mc:AlternateContent xmlns:mc="http://schemas.openxmlformats.org/markup-compatibility/2006">
      <mc:Choice Requires="x14">
        <control shapeId="1054" r:id="rId54" name="Idle_Ring_Timing_Meas">
          <controlPr defaultSize="0" autoLine="0" autoPict="0" r:id="rId55">
            <anchor moveWithCells="1">
              <from>
                <xdr:col>14</xdr:col>
                <xdr:colOff>9525</xdr:colOff>
                <xdr:row>130</xdr:row>
                <xdr:rowOff>114300</xdr:rowOff>
              </from>
              <to>
                <xdr:col>16</xdr:col>
                <xdr:colOff>9525</xdr:colOff>
                <xdr:row>132</xdr:row>
                <xdr:rowOff>209550</xdr:rowOff>
              </to>
            </anchor>
          </controlPr>
        </control>
      </mc:Choice>
      <mc:Fallback>
        <control shapeId="1054" r:id="rId54" name="Idle_Ring_Timing_Meas"/>
      </mc:Fallback>
    </mc:AlternateContent>
    <mc:AlternateContent xmlns:mc="http://schemas.openxmlformats.org/markup-compatibility/2006">
      <mc:Choice Requires="x14">
        <control shapeId="1055" r:id="rId56" name="CT_Measure">
          <controlPr defaultSize="0" autoLine="0" autoPict="0" r:id="rId57">
            <anchor moveWithCells="1">
              <from>
                <xdr:col>14</xdr:col>
                <xdr:colOff>19050</xdr:colOff>
                <xdr:row>137</xdr:row>
                <xdr:rowOff>28575</xdr:rowOff>
              </from>
              <to>
                <xdr:col>16</xdr:col>
                <xdr:colOff>38100</xdr:colOff>
                <xdr:row>139</xdr:row>
                <xdr:rowOff>28575</xdr:rowOff>
              </to>
            </anchor>
          </controlPr>
        </control>
      </mc:Choice>
      <mc:Fallback>
        <control shapeId="1055" r:id="rId56" name="CT_Measure"/>
      </mc:Fallback>
    </mc:AlternateContent>
    <mc:AlternateContent xmlns:mc="http://schemas.openxmlformats.org/markup-compatibility/2006">
      <mc:Choice Requires="x14">
        <control shapeId="1056" r:id="rId58" name="SR_ZVS_Timing_Calc_Meas">
          <controlPr defaultSize="0" autoLine="0" autoPict="0" r:id="rId59">
            <anchor moveWithCells="1">
              <from>
                <xdr:col>13</xdr:col>
                <xdr:colOff>600075</xdr:colOff>
                <xdr:row>133</xdr:row>
                <xdr:rowOff>152400</xdr:rowOff>
              </from>
              <to>
                <xdr:col>16</xdr:col>
                <xdr:colOff>28575</xdr:colOff>
                <xdr:row>136</xdr:row>
                <xdr:rowOff>0</xdr:rowOff>
              </to>
            </anchor>
          </controlPr>
        </control>
      </mc:Choice>
      <mc:Fallback>
        <control shapeId="1056" r:id="rId58" name="SR_ZVS_Timing_Calc_Meas"/>
      </mc:Fallback>
    </mc:AlternateContent>
    <mc:AlternateContent xmlns:mc="http://schemas.openxmlformats.org/markup-compatibility/2006">
      <mc:Choice Requires="x14">
        <control shapeId="1057" r:id="rId60" name="DTime_Measure">
          <controlPr defaultSize="0" autoLine="0" autoPict="0" r:id="rId61">
            <anchor moveWithCells="1">
              <from>
                <xdr:col>14</xdr:col>
                <xdr:colOff>28575</xdr:colOff>
                <xdr:row>140</xdr:row>
                <xdr:rowOff>95250</xdr:rowOff>
              </from>
              <to>
                <xdr:col>16</xdr:col>
                <xdr:colOff>57150</xdr:colOff>
                <xdr:row>142</xdr:row>
                <xdr:rowOff>9525</xdr:rowOff>
              </to>
            </anchor>
          </controlPr>
        </control>
      </mc:Choice>
      <mc:Fallback>
        <control shapeId="1057" r:id="rId60" name="DTime_Measure"/>
      </mc:Fallback>
    </mc:AlternateContent>
    <mc:AlternateContent xmlns:mc="http://schemas.openxmlformats.org/markup-compatibility/2006">
      <mc:Choice Requires="x14">
        <control shapeId="1058" r:id="rId62" name="CT_DT_Ration">
          <controlPr defaultSize="0" autoLine="0" autoPict="0" r:id="rId63">
            <anchor moveWithCells="1">
              <from>
                <xdr:col>14</xdr:col>
                <xdr:colOff>9525</xdr:colOff>
                <xdr:row>143</xdr:row>
                <xdr:rowOff>504825</xdr:rowOff>
              </from>
              <to>
                <xdr:col>16</xdr:col>
                <xdr:colOff>28575</xdr:colOff>
                <xdr:row>143</xdr:row>
                <xdr:rowOff>1190625</xdr:rowOff>
              </to>
            </anchor>
          </controlPr>
        </control>
      </mc:Choice>
      <mc:Fallback>
        <control shapeId="1058" r:id="rId62" name="CT_DT_Ration"/>
      </mc:Fallback>
    </mc:AlternateContent>
    <mc:AlternateContent xmlns:mc="http://schemas.openxmlformats.org/markup-compatibility/2006">
      <mc:Choice Requires="x14">
        <control shapeId="1059" r:id="rId64" name="srZVS_OR">
          <controlPr defaultSize="0" autoLine="0" r:id="rId65">
            <anchor moveWithCells="1">
              <from>
                <xdr:col>14</xdr:col>
                <xdr:colOff>28575</xdr:colOff>
                <xdr:row>173</xdr:row>
                <xdr:rowOff>0</xdr:rowOff>
              </from>
              <to>
                <xdr:col>16</xdr:col>
                <xdr:colOff>85725</xdr:colOff>
                <xdr:row>176</xdr:row>
                <xdr:rowOff>0</xdr:rowOff>
              </to>
            </anchor>
          </controlPr>
        </control>
      </mc:Choice>
      <mc:Fallback>
        <control shapeId="1059" r:id="rId64" name="srZVS_OR"/>
      </mc:Fallback>
    </mc:AlternateContent>
    <mc:AlternateContent xmlns:mc="http://schemas.openxmlformats.org/markup-compatibility/2006">
      <mc:Choice Requires="x14">
        <control shapeId="1061" r:id="rId66" name="Enable_Misc2">
          <controlPr defaultSize="0" autoLine="0" r:id="rId67">
            <anchor moveWithCells="1">
              <from>
                <xdr:col>14</xdr:col>
                <xdr:colOff>28575</xdr:colOff>
                <xdr:row>178</xdr:row>
                <xdr:rowOff>38100</xdr:rowOff>
              </from>
              <to>
                <xdr:col>16</xdr:col>
                <xdr:colOff>85725</xdr:colOff>
                <xdr:row>181</xdr:row>
                <xdr:rowOff>38100</xdr:rowOff>
              </to>
            </anchor>
          </controlPr>
        </control>
      </mc:Choice>
      <mc:Fallback>
        <control shapeId="1061" r:id="rId66" name="Enable_Misc2"/>
      </mc:Fallback>
    </mc:AlternateContent>
    <mc:AlternateContent xmlns:mc="http://schemas.openxmlformats.org/markup-compatibility/2006">
      <mc:Choice Requires="x14">
        <control shapeId="1062" r:id="rId68" name="Enable_Misc3">
          <controlPr defaultSize="0" autoLine="0" r:id="rId69">
            <anchor moveWithCells="1">
              <from>
                <xdr:col>14</xdr:col>
                <xdr:colOff>28575</xdr:colOff>
                <xdr:row>186</xdr:row>
                <xdr:rowOff>19050</xdr:rowOff>
              </from>
              <to>
                <xdr:col>16</xdr:col>
                <xdr:colOff>85725</xdr:colOff>
                <xdr:row>189</xdr:row>
                <xdr:rowOff>19050</xdr:rowOff>
              </to>
            </anchor>
          </controlPr>
        </control>
      </mc:Choice>
      <mc:Fallback>
        <control shapeId="1062" r:id="rId68" name="Enable_Misc3"/>
      </mc:Fallback>
    </mc:AlternateContent>
    <mc:AlternateContent xmlns:mc="http://schemas.openxmlformats.org/markup-compatibility/2006">
      <mc:Choice Requires="x14">
        <control shapeId="1063" r:id="rId70" name="VOTC">
          <controlPr defaultSize="0" autoLine="0" r:id="rId71">
            <anchor moveWithCells="1">
              <from>
                <xdr:col>14</xdr:col>
                <xdr:colOff>19050</xdr:colOff>
                <xdr:row>192</xdr:row>
                <xdr:rowOff>19050</xdr:rowOff>
              </from>
              <to>
                <xdr:col>16</xdr:col>
                <xdr:colOff>76200</xdr:colOff>
                <xdr:row>195</xdr:row>
                <xdr:rowOff>19050</xdr:rowOff>
              </to>
            </anchor>
          </controlPr>
        </control>
      </mc:Choice>
      <mc:Fallback>
        <control shapeId="1063" r:id="rId70" name="VOTC"/>
      </mc:Fallback>
    </mc:AlternateContent>
    <mc:AlternateContent xmlns:mc="http://schemas.openxmlformats.org/markup-compatibility/2006">
      <mc:Choice Requires="x14">
        <control shapeId="1064" r:id="rId72" name="SR_Control2">
          <controlPr defaultSize="0" autoLine="0" r:id="rId73">
            <anchor moveWithCells="1">
              <from>
                <xdr:col>14</xdr:col>
                <xdr:colOff>0</xdr:colOff>
                <xdr:row>200</xdr:row>
                <xdr:rowOff>209550</xdr:rowOff>
              </from>
              <to>
                <xdr:col>16</xdr:col>
                <xdr:colOff>57150</xdr:colOff>
                <xdr:row>203</xdr:row>
                <xdr:rowOff>209550</xdr:rowOff>
              </to>
            </anchor>
          </controlPr>
        </control>
      </mc:Choice>
      <mc:Fallback>
        <control shapeId="1064" r:id="rId72" name="SR_Control2"/>
      </mc:Fallback>
    </mc:AlternateContent>
    <mc:AlternateContent xmlns:mc="http://schemas.openxmlformats.org/markup-compatibility/2006">
      <mc:Choice Requires="x14">
        <control shapeId="1065" r:id="rId74" name="Fault_Response2">
          <controlPr defaultSize="0" autoLine="0" r:id="rId75">
            <anchor moveWithCells="1">
              <from>
                <xdr:col>14</xdr:col>
                <xdr:colOff>19050</xdr:colOff>
                <xdr:row>210</xdr:row>
                <xdr:rowOff>19050</xdr:rowOff>
              </from>
              <to>
                <xdr:col>16</xdr:col>
                <xdr:colOff>76200</xdr:colOff>
                <xdr:row>213</xdr:row>
                <xdr:rowOff>19050</xdr:rowOff>
              </to>
            </anchor>
          </controlPr>
        </control>
      </mc:Choice>
      <mc:Fallback>
        <control shapeId="1065" r:id="rId74" name="Fault_Response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E8AEDF-D03F-4EDB-B82F-00AD79A084D9}">
  <sheetPr codeName="Sheet6"/>
  <dimension ref="A6:B34"/>
  <sheetViews>
    <sheetView topLeftCell="A7" workbookViewId="0">
      <selection activeCell="K31" sqref="K31"/>
    </sheetView>
  </sheetViews>
  <sheetFormatPr defaultRowHeight="15" x14ac:dyDescent="0.25"/>
  <cols>
    <col min="2" max="2" width="35.85546875" bestFit="1" customWidth="1"/>
  </cols>
  <sheetData>
    <row r="6" spans="1:2" x14ac:dyDescent="0.25">
      <c r="A6">
        <v>1</v>
      </c>
      <c r="B6" t="s">
        <v>307</v>
      </c>
    </row>
    <row r="7" spans="1:2" x14ac:dyDescent="0.25">
      <c r="A7">
        <v>2</v>
      </c>
      <c r="B7" t="s">
        <v>308</v>
      </c>
    </row>
    <row r="33" spans="1:2" x14ac:dyDescent="0.25">
      <c r="A33">
        <v>3</v>
      </c>
      <c r="B33" t="s">
        <v>309</v>
      </c>
    </row>
    <row r="34" spans="1:2" x14ac:dyDescent="0.25">
      <c r="A34">
        <v>4</v>
      </c>
      <c r="B34" t="s">
        <v>310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2E375-5CE5-4DBA-90BD-A8048B3E9314}">
  <sheetPr codeName="Sheet4"/>
  <dimension ref="A1"/>
  <sheetViews>
    <sheetView topLeftCell="A73" workbookViewId="0">
      <selection activeCell="K51" sqref="K51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2642C-4210-45C0-B246-0BDFEDA3ADE7}">
  <sheetPr codeName="Sheet5"/>
  <dimension ref="A1"/>
  <sheetViews>
    <sheetView topLeftCell="A31" zoomScale="70" zoomScaleNormal="70" workbookViewId="0">
      <selection activeCell="B56" sqref="B56"/>
    </sheetView>
  </sheetViews>
  <sheetFormatPr defaultRowHeight="15" x14ac:dyDescent="0.25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97520BF933407479E586D4DFB0A558F" ma:contentTypeVersion="11" ma:contentTypeDescription="Create a new document." ma:contentTypeScope="" ma:versionID="79ed45d7b5a46f8e8ca1a069f6a88982">
  <xsd:schema xmlns:xsd="http://www.w3.org/2001/XMLSchema" xmlns:xs="http://www.w3.org/2001/XMLSchema" xmlns:p="http://schemas.microsoft.com/office/2006/metadata/properties" xmlns:ns2="e2982896-5ef2-41a7-907e-fcf589c1916a" xmlns:ns3="9bdc5d9e-c987-4c1a-8e01-c8b9a07cce7c" targetNamespace="http://schemas.microsoft.com/office/2006/metadata/properties" ma:root="true" ma:fieldsID="1b98cb19afdb699c4e566f2613549bc7" ns2:_="" ns3:_="">
    <xsd:import namespace="e2982896-5ef2-41a7-907e-fcf589c1916a"/>
    <xsd:import namespace="9bdc5d9e-c987-4c1a-8e01-c8b9a07cce7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2982896-5ef2-41a7-907e-fcf589c1916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4353600-43db-430b-8e22-229653218ea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bdc5d9e-c987-4c1a-8e01-c8b9a07cce7c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2ec10528-684c-4abf-80f0-f2df81940b81}" ma:internalName="TaxCatchAll" ma:showField="CatchAllData" ma:web="9bdc5d9e-c987-4c1a-8e01-c8b9a07cce7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9bdc5d9e-c987-4c1a-8e01-c8b9a07cce7c" xsi:nil="true"/>
    <lcf76f155ced4ddcb4097134ff3c332f xmlns="e2982896-5ef2-41a7-907e-fcf589c1916a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F355067-33E1-4DF5-82CB-191EB70FF1D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2982896-5ef2-41a7-907e-fcf589c1916a"/>
    <ds:schemaRef ds:uri="9bdc5d9e-c987-4c1a-8e01-c8b9a07cce7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CF5B65F-E593-4A55-9E0D-2AE57F4B78C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9D97C9E-EF80-47DE-92C3-6BD2212E28AA}">
  <ds:schemaRefs>
    <ds:schemaRef ds:uri="http://schemas.microsoft.com/office/2006/metadata/properties"/>
    <ds:schemaRef ds:uri="http://schemas.microsoft.com/office/infopath/2007/PartnerControls"/>
    <ds:schemaRef ds:uri="9bdc5d9e-c987-4c1a-8e01-c8b9a07cce7c"/>
    <ds:schemaRef ds:uri="e2982896-5ef2-41a7-907e-fcf589c1916a"/>
  </ds:schemaRefs>
</ds:datastoreItem>
</file>

<file path=docMetadata/LabelInfo.xml><?xml version="1.0" encoding="utf-8"?>
<clbl:labelList xmlns:clbl="http://schemas.microsoft.com/office/2020/mipLabelMetadata">
  <clbl:label id="{0c9cca1f-0629-4571-bde7-3b7bfa78a748}" enabled="0" method="" siteId="{0c9cca1f-0629-4571-bde7-3b7bfa78a748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315</vt:i4>
      </vt:variant>
    </vt:vector>
  </HeadingPairs>
  <TitlesOfParts>
    <vt:vector size="319" baseType="lpstr">
      <vt:lpstr>Inno6-AQ</vt:lpstr>
      <vt:lpstr>ReadMe</vt:lpstr>
      <vt:lpstr>mcc config</vt:lpstr>
      <vt:lpstr>waveforms</vt:lpstr>
      <vt:lpstr>cc_0_8</vt:lpstr>
      <vt:lpstr>cc_0_8_hex</vt:lpstr>
      <vt:lpstr>cc_11</vt:lpstr>
      <vt:lpstr>cc_12_13</vt:lpstr>
      <vt:lpstr>cc_14_15</vt:lpstr>
      <vt:lpstr>cc_9_10</vt:lpstr>
      <vt:lpstr>cc_add</vt:lpstr>
      <vt:lpstr>cc_control_data</vt:lpstr>
      <vt:lpstr>cc_high</vt:lpstr>
      <vt:lpstr>cc_low</vt:lpstr>
      <vt:lpstr>charge_t_meas_reg_0_9</vt:lpstr>
      <vt:lpstr>charge_t_meas_reg_0_9_hex</vt:lpstr>
      <vt:lpstr>charge_t_meas_reg_10_15</vt:lpstr>
      <vt:lpstr>charge_t_meas_reg_add</vt:lpstr>
      <vt:lpstr>charge_t_meas_reg_high</vt:lpstr>
      <vt:lpstr>charge_t_meas_reg_low</vt:lpstr>
      <vt:lpstr>chrg_dchrg_raatio_reg_0_7</vt:lpstr>
      <vt:lpstr>chrg_dchrg_raatio_reg_0_7_hex</vt:lpstr>
      <vt:lpstr>chrg_dchrg_raatio_reg_8_15</vt:lpstr>
      <vt:lpstr>chrg_dchrg_raatio_reg_add</vt:lpstr>
      <vt:lpstr>chrg_dchrg_raatio_reg_high</vt:lpstr>
      <vt:lpstr>chrg_dchrg_raatio_reg_low</vt:lpstr>
      <vt:lpstr>cp_0_10</vt:lpstr>
      <vt:lpstr>cp_0_10_hex</vt:lpstr>
      <vt:lpstr>cp_11_12</vt:lpstr>
      <vt:lpstr>cp_13_15</vt:lpstr>
      <vt:lpstr>cp_add</vt:lpstr>
      <vt:lpstr>cp_high</vt:lpstr>
      <vt:lpstr>cp_low</vt:lpstr>
      <vt:lpstr>cv_0_12</vt:lpstr>
      <vt:lpstr>cv_0_12_hex</vt:lpstr>
      <vt:lpstr>cv_13_15</vt:lpstr>
      <vt:lpstr>cv_13_15_hex</vt:lpstr>
      <vt:lpstr>cv_add</vt:lpstr>
      <vt:lpstr>cv_cc_cp_control_0</vt:lpstr>
      <vt:lpstr>cv_cc_cp_control_1_2</vt:lpstr>
      <vt:lpstr>cv_cc_cp_control_11_12</vt:lpstr>
      <vt:lpstr>cv_cc_cp_control_13</vt:lpstr>
      <vt:lpstr>cv_cc_cp_control_14_15</vt:lpstr>
      <vt:lpstr>cv_cc_cp_control_3_4</vt:lpstr>
      <vt:lpstr>cv_cc_cp_control_5_6</vt:lpstr>
      <vt:lpstr>cv_cc_cp_control_7_8</vt:lpstr>
      <vt:lpstr>cv_cc_cp_control_9_10</vt:lpstr>
      <vt:lpstr>cv_cc_cp_control_add</vt:lpstr>
      <vt:lpstr>cv_cc_cp_control_hex</vt:lpstr>
      <vt:lpstr>cv_cc_cp_control_high</vt:lpstr>
      <vt:lpstr>cv_cc_cp_control_low</vt:lpstr>
      <vt:lpstr>cv_high</vt:lpstr>
      <vt:lpstr>cv_low</vt:lpstr>
      <vt:lpstr>dcharge_t_meas_reg__add</vt:lpstr>
      <vt:lpstr>dcharge_t_meas_reg__high</vt:lpstr>
      <vt:lpstr>dcharge_t_meas_reg_0_9</vt:lpstr>
      <vt:lpstr>dcharge_t_meas_reg_0_9_hex</vt:lpstr>
      <vt:lpstr>dcharge_t_meas_reg_10_15</vt:lpstr>
      <vt:lpstr>dcharge_t_meas_reg_low</vt:lpstr>
      <vt:lpstr>enable_misc_0</vt:lpstr>
      <vt:lpstr>enable_misc_1</vt:lpstr>
      <vt:lpstr>enable_misc_11_15</vt:lpstr>
      <vt:lpstr>enable_misc_2_6</vt:lpstr>
      <vt:lpstr>enable_misc_2_6_hex</vt:lpstr>
      <vt:lpstr>enable_misc_7_8</vt:lpstr>
      <vt:lpstr>enable_misc_9_10</vt:lpstr>
      <vt:lpstr>enable_misc_add</vt:lpstr>
      <vt:lpstr>enable_misc_high</vt:lpstr>
      <vt:lpstr>enable_misc_low</vt:lpstr>
      <vt:lpstr>enable_misc2_0_1</vt:lpstr>
      <vt:lpstr>enable_misc2_10_14</vt:lpstr>
      <vt:lpstr>enable_misc2_15</vt:lpstr>
      <vt:lpstr>enable_misc2_2_3</vt:lpstr>
      <vt:lpstr>enable_misc2_4</vt:lpstr>
      <vt:lpstr>enable_misc2_5</vt:lpstr>
      <vt:lpstr>enable_misc2_6_7</vt:lpstr>
      <vt:lpstr>enable_misc2_8_9</vt:lpstr>
      <vt:lpstr>enable_misc2_add</vt:lpstr>
      <vt:lpstr>enable_misc2_high</vt:lpstr>
      <vt:lpstr>enable_misc2_low</vt:lpstr>
      <vt:lpstr>enable_misc3_0_1</vt:lpstr>
      <vt:lpstr>enable_misc3_2_3</vt:lpstr>
      <vt:lpstr>enable_misc3_4</vt:lpstr>
      <vt:lpstr>enable_misc3_5_6</vt:lpstr>
      <vt:lpstr>enable_misc3_7_15</vt:lpstr>
      <vt:lpstr>enable_misc3_add</vt:lpstr>
      <vt:lpstr>enable_misc3_high</vt:lpstr>
      <vt:lpstr>enable_misc3_low</vt:lpstr>
      <vt:lpstr>fault_control_0_1</vt:lpstr>
      <vt:lpstr>fault_control_0_15_hex</vt:lpstr>
      <vt:lpstr>fault_control_11_12</vt:lpstr>
      <vt:lpstr>fault_control_13_15</vt:lpstr>
      <vt:lpstr>fault_control_2_3</vt:lpstr>
      <vt:lpstr>fault_control_4_5</vt:lpstr>
      <vt:lpstr>fault_control_6</vt:lpstr>
      <vt:lpstr>fault_control_7_8</vt:lpstr>
      <vt:lpstr>fault_control_9_10</vt:lpstr>
      <vt:lpstr>fault_control_add</vt:lpstr>
      <vt:lpstr>fault_control_high</vt:lpstr>
      <vt:lpstr>fault_control_low</vt:lpstr>
      <vt:lpstr>fault_flag_reg_0</vt:lpstr>
      <vt:lpstr>fault_flag_reg_1</vt:lpstr>
      <vt:lpstr>fault_flag_reg_10</vt:lpstr>
      <vt:lpstr>fault_flag_reg_11_15</vt:lpstr>
      <vt:lpstr>fault_flag_reg_2</vt:lpstr>
      <vt:lpstr>fault_flag_reg_3</vt:lpstr>
      <vt:lpstr>fault_flag_reg_4</vt:lpstr>
      <vt:lpstr>fault_flag_reg_5</vt:lpstr>
      <vt:lpstr>fault_flag_reg_6</vt:lpstr>
      <vt:lpstr>fault_flag_reg_7</vt:lpstr>
      <vt:lpstr>fault_flag_reg_8</vt:lpstr>
      <vt:lpstr>fault_flag_reg_9</vt:lpstr>
      <vt:lpstr>fault_flag_reg_add</vt:lpstr>
      <vt:lpstr>fault_flag_reg_high</vt:lpstr>
      <vt:lpstr>fault_flag_reg_low</vt:lpstr>
      <vt:lpstr>fault_res_0_1</vt:lpstr>
      <vt:lpstr>fault_res_0_15_hex</vt:lpstr>
      <vt:lpstr>fault_res_10_11</vt:lpstr>
      <vt:lpstr>fault_res_12_15</vt:lpstr>
      <vt:lpstr>fault_res_2_3</vt:lpstr>
      <vt:lpstr>fault_res_4_5</vt:lpstr>
      <vt:lpstr>fault_res_6_7</vt:lpstr>
      <vt:lpstr>fault_res_8_9</vt:lpstr>
      <vt:lpstr>fault_res_add</vt:lpstr>
      <vt:lpstr>fault_res_high</vt:lpstr>
      <vt:lpstr>fault_res_low</vt:lpstr>
      <vt:lpstr>fault_resp_reg2_0</vt:lpstr>
      <vt:lpstr>fault_resp_reg2_1_2</vt:lpstr>
      <vt:lpstr>fault_resp_reg2_3_4</vt:lpstr>
      <vt:lpstr>fault_resp_reg2_5_6</vt:lpstr>
      <vt:lpstr>fault_resp_reg2_7_15</vt:lpstr>
      <vt:lpstr>fault_resp_reg2_add</vt:lpstr>
      <vt:lpstr>fault_resp_reg2_high</vt:lpstr>
      <vt:lpstr>fault_resp_reg2_low</vt:lpstr>
      <vt:lpstr>fb_meas_reg_0_8</vt:lpstr>
      <vt:lpstr>fb_meas_reg_0_8_hex</vt:lpstr>
      <vt:lpstr>fb_meas_reg_9_15</vt:lpstr>
      <vt:lpstr>fb_meas_reg_add</vt:lpstr>
      <vt:lpstr>fb_meas_reg_high</vt:lpstr>
      <vt:lpstr>fb_meas_reg_low</vt:lpstr>
      <vt:lpstr>filt_is_meas_reg_0_8</vt:lpstr>
      <vt:lpstr>filt_is_meas_reg_0_8_hex</vt:lpstr>
      <vt:lpstr>filt_is_meas_reg_9_15</vt:lpstr>
      <vt:lpstr>filt_is_meas_reg_add</vt:lpstr>
      <vt:lpstr>filt_is_meas_reg_high</vt:lpstr>
      <vt:lpstr>filt_is_meas_reg_low</vt:lpstr>
      <vt:lpstr>Filt_vout_meas_reg_0_10</vt:lpstr>
      <vt:lpstr>Filt_vout_meas_reg_0_10_hex</vt:lpstr>
      <vt:lpstr>Filt_vout_meas_reg_11_15</vt:lpstr>
      <vt:lpstr>Filt_vout_meas_reg_add</vt:lpstr>
      <vt:lpstr>Filt_vout_meas_reg_high</vt:lpstr>
      <vt:lpstr>Filt_vout_meas_reg_low</vt:lpstr>
      <vt:lpstr>filtered_fb_meas_reg_0_8</vt:lpstr>
      <vt:lpstr>filtered_fb_meas_reg_0_8_hex</vt:lpstr>
      <vt:lpstr>filtered_fb_meas_reg_9_15</vt:lpstr>
      <vt:lpstr>filtered_fb_meas_reg_Add</vt:lpstr>
      <vt:lpstr>filtered_fb_meas_reg_high</vt:lpstr>
      <vt:lpstr>filtered_fb_meas_reg_low</vt:lpstr>
      <vt:lpstr>idle_ring_t_meas_reg_0_9</vt:lpstr>
      <vt:lpstr>idle_ring_t_meas_reg_0_9_hex</vt:lpstr>
      <vt:lpstr>idle_ring_t_meas_reg_10_15</vt:lpstr>
      <vt:lpstr>idle_ring_t_meas_reg_add</vt:lpstr>
      <vt:lpstr>idle_ring_t_meas_reg_high</vt:lpstr>
      <vt:lpstr>idle_ring_t_meas_reg_low</vt:lpstr>
      <vt:lpstr>is_meas_reg_0_8</vt:lpstr>
      <vt:lpstr>is_meas_reg_0_8_hex</vt:lpstr>
      <vt:lpstr>is_meas_reg_9_15</vt:lpstr>
      <vt:lpstr>is_meas_reg_add</vt:lpstr>
      <vt:lpstr>is_meas_reg_high</vt:lpstr>
      <vt:lpstr>is_meas_reg_low</vt:lpstr>
      <vt:lpstr>null_reg_0_15</vt:lpstr>
      <vt:lpstr>null_reg_0_15_hex</vt:lpstr>
      <vt:lpstr>null_reg_add</vt:lpstr>
      <vt:lpstr>null_reg_high</vt:lpstr>
      <vt:lpstr>null_reg_low</vt:lpstr>
      <vt:lpstr>psu_restart_0</vt:lpstr>
      <vt:lpstr>psu_restart_1</vt:lpstr>
      <vt:lpstr>psu_restart_2_15</vt:lpstr>
      <vt:lpstr>psu_restart_add</vt:lpstr>
      <vt:lpstr>psu_restart_high</vt:lpstr>
      <vt:lpstr>psu_restart_low</vt:lpstr>
      <vt:lpstr>sec_die_temp_meas_reg_0_8</vt:lpstr>
      <vt:lpstr>sec_die_temp_meas_reg_0_8_hex</vt:lpstr>
      <vt:lpstr>sec_die_temp_meas_reg_9_15</vt:lpstr>
      <vt:lpstr>sec_die_temp_meas_reg_add</vt:lpstr>
      <vt:lpstr>sec_die_temp_meas_reg_high</vt:lpstr>
      <vt:lpstr>sec_die_temp_meas_reg_low</vt:lpstr>
      <vt:lpstr>sr_control2_0_1</vt:lpstr>
      <vt:lpstr>sr_control2_11_12</vt:lpstr>
      <vt:lpstr>sr_control2_13</vt:lpstr>
      <vt:lpstr>sr_control2_14_15</vt:lpstr>
      <vt:lpstr>sr_control2_2_3</vt:lpstr>
      <vt:lpstr>sr_control2_4</vt:lpstr>
      <vt:lpstr>sr_control2_5</vt:lpstr>
      <vt:lpstr>sr_control2_6_8</vt:lpstr>
      <vt:lpstr>sr_control2_9_10</vt:lpstr>
      <vt:lpstr>sr_control2_add</vt:lpstr>
      <vt:lpstr>sr_control2_high</vt:lpstr>
      <vt:lpstr>sr_control2_low</vt:lpstr>
      <vt:lpstr>sr_mode_control_0</vt:lpstr>
      <vt:lpstr>sr_mode_control_1</vt:lpstr>
      <vt:lpstr>sr_mode_control_2</vt:lpstr>
      <vt:lpstr>sr_mode_control_3_4</vt:lpstr>
      <vt:lpstr>sr_mode_control_5_15</vt:lpstr>
      <vt:lpstr>sr_mode_control_add</vt:lpstr>
      <vt:lpstr>sr_mode_control_high</vt:lpstr>
      <vt:lpstr>sr_mode_control_low</vt:lpstr>
      <vt:lpstr>sr_zvs_or_reg_0</vt:lpstr>
      <vt:lpstr>sr_zvs_or_reg_1_9</vt:lpstr>
      <vt:lpstr>sr_zvs_or_reg_1_9_hex</vt:lpstr>
      <vt:lpstr>sr_zvs_or_reg_10_15</vt:lpstr>
      <vt:lpstr>sr_zvs_or_reg_10_15_hex</vt:lpstr>
      <vt:lpstr>sr_zvs_or_reg_add</vt:lpstr>
      <vt:lpstr>sr_zvs_or_reg_high</vt:lpstr>
      <vt:lpstr>sr_zvs_or_reg_low</vt:lpstr>
      <vt:lpstr>sr_zvs_t_calc_reg_0_9</vt:lpstr>
      <vt:lpstr>sr_zvs_t_calc_reg_0_9_hex</vt:lpstr>
      <vt:lpstr>sr_zvs_t_calc_reg_10_15</vt:lpstr>
      <vt:lpstr>sr_zvs_t_calc_reg_add</vt:lpstr>
      <vt:lpstr>sr_zvs_t_calc_reg_high</vt:lpstr>
      <vt:lpstr>sr_zvs_t_calc_reg_low</vt:lpstr>
      <vt:lpstr>status_reg_0</vt:lpstr>
      <vt:lpstr>status_reg_1</vt:lpstr>
      <vt:lpstr>status_reg_10_15</vt:lpstr>
      <vt:lpstr>status_reg_2</vt:lpstr>
      <vt:lpstr>status_reg_3</vt:lpstr>
      <vt:lpstr>status_reg_4</vt:lpstr>
      <vt:lpstr>status_reg_5</vt:lpstr>
      <vt:lpstr>status_reg_6</vt:lpstr>
      <vt:lpstr>status_reg_7</vt:lpstr>
      <vt:lpstr>status_reg_8</vt:lpstr>
      <vt:lpstr>status_reg_9</vt:lpstr>
      <vt:lpstr>status_reg_add</vt:lpstr>
      <vt:lpstr>status_reg_high</vt:lpstr>
      <vt:lpstr>status_reg_low</vt:lpstr>
      <vt:lpstr>test_pattern_0_15</vt:lpstr>
      <vt:lpstr>test_pattern_0_15_hex</vt:lpstr>
      <vt:lpstr>test_pattern_add</vt:lpstr>
      <vt:lpstr>test_pattern_high</vt:lpstr>
      <vt:lpstr>test_pattern_low</vt:lpstr>
      <vt:lpstr>vfb_ar_0_8</vt:lpstr>
      <vt:lpstr>vfb_ar_0_8_hex</vt:lpstr>
      <vt:lpstr>vfb_ar_10_15</vt:lpstr>
      <vt:lpstr>vfb_ar_9</vt:lpstr>
      <vt:lpstr>vfb_ar_add</vt:lpstr>
      <vt:lpstr>vfb_ar_high</vt:lpstr>
      <vt:lpstr>vfb_ar_low</vt:lpstr>
      <vt:lpstr>vfb_ovp_0_8</vt:lpstr>
      <vt:lpstr>vfb_ovp_0_8_hex</vt:lpstr>
      <vt:lpstr>vfb_ovp_10_15</vt:lpstr>
      <vt:lpstr>vfb_ovp_9</vt:lpstr>
      <vt:lpstr>vfb_ovp_add</vt:lpstr>
      <vt:lpstr>vfb_ovp_high</vt:lpstr>
      <vt:lpstr>vfb_ovp_low</vt:lpstr>
      <vt:lpstr>vo_ovp_0_10</vt:lpstr>
      <vt:lpstr>vo_ovp_0_10_hex</vt:lpstr>
      <vt:lpstr>vo_ovp_11</vt:lpstr>
      <vt:lpstr>vo_ovp_12_15</vt:lpstr>
      <vt:lpstr>votc_reg_0_1</vt:lpstr>
      <vt:lpstr>votc_reg_10_15</vt:lpstr>
      <vt:lpstr>votc_reg_2_3</vt:lpstr>
      <vt:lpstr>votc_reg_4</vt:lpstr>
      <vt:lpstr>votc_reg_7</vt:lpstr>
      <vt:lpstr>votc_reg_8_9</vt:lpstr>
      <vt:lpstr>votc_reg_add</vt:lpstr>
      <vt:lpstr>votc_reg_add_5_6</vt:lpstr>
      <vt:lpstr>votc_reg_high</vt:lpstr>
      <vt:lpstr>votc_reg_low</vt:lpstr>
      <vt:lpstr>vout_meas_reg_0_10</vt:lpstr>
      <vt:lpstr>vout_meas_reg_0_10_hex</vt:lpstr>
      <vt:lpstr>vout_meas_reg_11_15</vt:lpstr>
      <vt:lpstr>vout_meas_reg_add</vt:lpstr>
      <vt:lpstr>vout_meas_reg_high</vt:lpstr>
      <vt:lpstr>vout_meas_reg_low</vt:lpstr>
      <vt:lpstr>vout_ovp_add</vt:lpstr>
      <vt:lpstr>vout_ovp_high</vt:lpstr>
      <vt:lpstr>vout_ovp_low</vt:lpstr>
      <vt:lpstr>vvo_ar_0_10</vt:lpstr>
      <vt:lpstr>vvo_ar_0_10_hex</vt:lpstr>
      <vt:lpstr>vvo_ar_11_12</vt:lpstr>
      <vt:lpstr>vvo_ar_13</vt:lpstr>
      <vt:lpstr>vvo_ar_14_15</vt:lpstr>
      <vt:lpstr>vvo_ar_add</vt:lpstr>
      <vt:lpstr>vvo_ar_high</vt:lpstr>
      <vt:lpstr>vvo_ar_low</vt:lpstr>
      <vt:lpstr>w_r_cc</vt:lpstr>
      <vt:lpstr>w_r_charge_t_meas_reg</vt:lpstr>
      <vt:lpstr>w_r_chrg_dchrg_raatio_reg</vt:lpstr>
      <vt:lpstr>w_r_cv</vt:lpstr>
      <vt:lpstr>w_r_cv_cc_cp_control</vt:lpstr>
      <vt:lpstr>w_r_dcharge_t_meas_reg</vt:lpstr>
      <vt:lpstr>w_r_enable_misc</vt:lpstr>
      <vt:lpstr>w_r_enable_misc2</vt:lpstr>
      <vt:lpstr>w_r_enable_misc3</vt:lpstr>
      <vt:lpstr>w_r_fault_control</vt:lpstr>
      <vt:lpstr>w_r_fault_flag_reg</vt:lpstr>
      <vt:lpstr>w_r_fault_res</vt:lpstr>
      <vt:lpstr>w_r_fault_resp_reg2</vt:lpstr>
      <vt:lpstr>w_r_fb_meas_reg</vt:lpstr>
      <vt:lpstr>w_r_filt_is_meas_reg</vt:lpstr>
      <vt:lpstr>w_r_Filt_vout_meas_reg</vt:lpstr>
      <vt:lpstr>w_r_filtered_fb_meas_reg</vt:lpstr>
      <vt:lpstr>w_r_idle_ring_t_meas_reg</vt:lpstr>
      <vt:lpstr>w_r_is_meas_reg</vt:lpstr>
      <vt:lpstr>w_r_null_reg</vt:lpstr>
      <vt:lpstr>w_r_psu_restart</vt:lpstr>
      <vt:lpstr>w_r_sec_die_temp_meas_reg</vt:lpstr>
      <vt:lpstr>w_r_sr_control2</vt:lpstr>
      <vt:lpstr>w_r_sr_mode_control</vt:lpstr>
      <vt:lpstr>w_r_sr_zvs_or_reg</vt:lpstr>
      <vt:lpstr>w_r_sr_zvs_t_calc_reg</vt:lpstr>
      <vt:lpstr>w_r_status_reg</vt:lpstr>
      <vt:lpstr>w_r_test_pattern</vt:lpstr>
      <vt:lpstr>w_r_vfb_ar</vt:lpstr>
      <vt:lpstr>w_r_vfb_ovp</vt:lpstr>
      <vt:lpstr>w_r_vo_ovp</vt:lpstr>
      <vt:lpstr>w_r_votc_reg</vt:lpstr>
      <vt:lpstr>w_r_vout_meas_reg</vt:lpstr>
      <vt:lpstr>w_r_vvo_ar</vt:lpstr>
    </vt:vector>
  </TitlesOfParts>
  <Manager/>
  <Company>Power Integrations, Inc.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Andrea Bettini</dc:creator>
  <cp:keywords/>
  <dc:description/>
  <cp:lastModifiedBy>Mark Pallones</cp:lastModifiedBy>
  <cp:revision/>
  <dcterms:created xsi:type="dcterms:W3CDTF">2025-05-07T11:46:15Z</dcterms:created>
  <dcterms:modified xsi:type="dcterms:W3CDTF">2026-04-07T05:23:19Z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0x010100D97520BF933407479E586D4DFB0A558F</vt:lpwstr>
  </property>
  <property fmtid="{D5CDD505-2E9C-101B-9397-08002B2CF9AE}" pid="3" name="MediaServiceImageTags">
    <vt:lpwstr/>
  </property>
</Properties>
</file>